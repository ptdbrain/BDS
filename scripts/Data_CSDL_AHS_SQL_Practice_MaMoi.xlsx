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aa7c9ee69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DauTu" sheetId="1" r:id="R65c32b1370db4c93"/>
    <x:sheet xmlns:r="http://schemas.openxmlformats.org/officeDocument/2006/relationships" name="DuAn" sheetId="2" r:id="Rb38e7f1ea6684b02"/>
    <x:sheet xmlns:r="http://schemas.openxmlformats.org/officeDocument/2006/relationships" name="LoaiSanPham" sheetId="3" r:id="R589ca5746b474cec"/>
    <x:sheet xmlns:r="http://schemas.openxmlformats.org/officeDocument/2006/relationships" name="PhongBan" sheetId="4" r:id="R522345447f9a41c4"/>
    <x:sheet xmlns:r="http://schemas.openxmlformats.org/officeDocument/2006/relationships" name="NhanVien" sheetId="5" r:id="Rbec26ce6d5c142d4"/>
    <x:sheet xmlns:r="http://schemas.openxmlformats.org/officeDocument/2006/relationships" name="SanPham" sheetId="6" r:id="R198656c6f6e74a43"/>
    <x:sheet xmlns:r="http://schemas.openxmlformats.org/officeDocument/2006/relationships" name="Booking" sheetId="7" r:id="Rf62b0f4c65bc4e04"/>
    <x:sheet xmlns:r="http://schemas.openxmlformats.org/officeDocument/2006/relationships" name="LuotLock" sheetId="8" r:id="R3ce63e608e754d3d"/>
    <x:sheet xmlns:r="http://schemas.openxmlformats.org/officeDocument/2006/relationships" name="HopDong" sheetId="9" r:id="Rdca2f7ab4df54444"/>
    <x:sheet xmlns:r="http://schemas.openxmlformats.org/officeDocument/2006/relationships" name="BC_DoanhThu" sheetId="10" r:id="R095314cf4fc34173"/>
    <x:sheet xmlns:r="http://schemas.openxmlformats.org/officeDocument/2006/relationships" name="BC_SanPham_DuAn" sheetId="11" r:id="Re67498ae284e4b93"/>
    <x:sheet xmlns:r="http://schemas.openxmlformats.org/officeDocument/2006/relationships" name="BC_DoanhSo_NV" sheetId="12" r:id="Rb8177749a3f8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@"/>
    <x:numFmt numFmtId="201" formatCode="0.00"/>
    <x:numFmt numFmtId="202" formatCode="#,##0"/>
    <x:numFmt numFmtId="203" formatCode="yyyy-mm-dd hh:mm:ss"/>
    <x:numFmt numFmtId="204" formatCode="dd/mm/yyyy"/>
    <x:numFmt numFmtId="205" formatCode="0"/>
    <x:numFmt numFmtId="206" formatCode="#,##0 &quot;VNĐ&quot;"/>
    <x:numFmt numFmtId="207" formatCode="0.0%"/>
    <x:numFmt numFmtId="208" formatCode="dd/mm/yyyy hh:mm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5"/>
      <x:name val="Carlito"/>
    </x:font>
    <x:font>
      <x:sz val="10"/>
      <x:name val="Carlito"/>
    </x:font>
    <x:font>
      <x:b/>
      <x:sz val="11"/>
      <x:name val="Carlito"/>
    </x:font>
    <x:font>
      <x:b/>
      <x:sz val="16"/>
      <x:name val="Carlito"/>
    </x:font>
    <x:font>
      <x:i/>
      <x:sz val="10"/>
      <x:name val="Carlito"/>
    </x:font>
    <x:font>
      <x:sz val="11"/>
      <x:color rgb="FFFFFFFF"/>
      <x:name val="Carlito"/>
    </x:font>
    <x:font>
      <x:i/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7"/>
      </x:patternFill>
    </x:fill>
    <x:fill>
      <x:patternFill patternType="solid">
        <x:fgColor rgb="FFD9EAF7"/>
      </x:patternFill>
    </x:fill>
    <x:fill>
      <x:patternFill patternType="solid">
        <x:fgColor rgb="FFEEF3F7"/>
      </x:patternFill>
    </x:fill>
  </x:fills>
  <x:borders count="16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0B0B0"/>
      </x:left>
      <x:top style="thin">
        <x:color rgb="FFB0B0B0"/>
      </x:top>
    </x:border>
    <x:border>
      <x:top style="thin">
        <x:color rgb="FFB0B0B0"/>
      </x:top>
    </x:border>
    <x:border>
      <x:right style="thin">
        <x:color rgb="FFB0B0B0"/>
      </x:right>
      <x:top style="thin">
        <x:color rgb="FFB0B0B0"/>
      </x:top>
    </x:border>
    <x:border>
      <x:left style="thin">
        <x:color rgb="FFB0B0B0"/>
      </x:left>
    </x:border>
    <x:border>
      <x:right style="thin">
        <x:color rgb="FFB0B0B0"/>
      </x:right>
    </x:border>
    <x:border>
      <x:left style="thin">
        <x:color rgb="FFB0B0B0"/>
      </x:left>
      <x:bottom style="thin">
        <x:color rgb="FFB0B0B0"/>
      </x:bottom>
    </x:border>
    <x:border>
      <x:bottom style="thin">
        <x:color rgb="FFB0B0B0"/>
      </x:bottom>
    </x:border>
    <x:border>
      <x:right style="thin">
        <x:color rgb="FFB0B0B0"/>
      </x:right>
      <x:bottom style="thin">
        <x:color rgb="FFB0B0B0"/>
      </x:bottom>
    </x:border>
    <x:border>
      <x:left style="thin">
        <x:color rgb="FFB0B0B0"/>
      </x:left>
      <x:top style="thin">
        <x:color rgb="FFB0B0B0"/>
      </x:top>
      <x:bottom style="thin">
        <x:color rgb="FFB0B0B0"/>
      </x:bottom>
    </x:border>
    <x:border>
      <x:top style="thin">
        <x:color rgb="FFB0B0B0"/>
      </x:top>
      <x:bottom style="thin">
        <x:color rgb="FFB0B0B0"/>
      </x:bottom>
    </x:border>
    <x:border>
      <x:right style="thin">
        <x:color rgb="FFB0B0B0"/>
      </x:right>
      <x:top style="thin">
        <x:color rgb="FFB0B0B0"/>
      </x:top>
      <x:bottom style="thin">
        <x:color rgb="FFB0B0B0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4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204" fontId="7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xfId="0" applyNumberFormat="1" applyFont="1" applyFill="1" applyBorder="0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205" fontId="0" fillId="0" borderId="6" xfId="0" applyNumberFormat="1" applyFont="1" applyFill="1" applyBorder="1"/>
    <x:xf numFmtId="205" fontId="0" fillId="0" xfId="0" applyNumberFormat="1" applyFont="1" applyFill="1" applyBorder="0"/>
    <x:xf numFmtId="205" fontId="0" fillId="0" borderId="11" xfId="0" applyNumberFormat="1" applyFont="1" applyFill="1" applyBorder="1"/>
    <x:xf numFmtId="205" fontId="4" fillId="4" borderId="14" xfId="0" applyNumberFormat="1" applyFont="1" applyFill="1" applyBorder="1"/>
    <x:xf numFmtId="206" fontId="0" fillId="0" borderId="6" xfId="0" applyNumberFormat="1" applyFont="1" applyFill="1" applyBorder="1"/>
    <x:xf numFmtId="206" fontId="0" fillId="0" xfId="0" applyNumberFormat="1" applyFont="1" applyFill="1" applyBorder="0"/>
    <x:xf numFmtId="206" fontId="0" fillId="0" borderId="11" xfId="0" applyNumberFormat="1" applyFont="1" applyFill="1" applyBorder="1"/>
    <x:xf numFmtId="206" fontId="4" fillId="4" borderId="14" xfId="0" applyNumberFormat="1" applyFont="1" applyFill="1" applyBorder="1"/>
    <x:xf numFmtId="207" fontId="0" fillId="0" borderId="6" xfId="0" applyNumberFormat="1" applyFont="1" applyFill="1" applyBorder="1"/>
    <x:xf numFmtId="207" fontId="0" fillId="0" xfId="0" applyNumberFormat="1" applyFont="1" applyFill="1" applyBorder="0"/>
    <x:xf numFmtId="207" fontId="0" fillId="0" borderId="11" xfId="0" applyNumberFormat="1" applyFont="1" applyFill="1" applyBorder="1"/>
    <x:xf numFmtId="207" fontId="4" fillId="4" borderId="14" xfId="0" applyNumberFormat="1" applyFont="1" applyFill="1" applyBorder="1"/>
    <x:xf numFmtId="206" fontId="0" fillId="0" borderId="7" xfId="0" applyNumberFormat="1" applyFont="1" applyFill="1" applyBorder="1"/>
    <x:xf numFmtId="205" fontId="0" fillId="0" borderId="9" xfId="0" applyNumberFormat="1" applyFont="1" applyFill="1" applyBorder="1"/>
    <x:xf numFmtId="206" fontId="0" fillId="0" borderId="12" xfId="0" applyNumberFormat="1" applyFont="1" applyFill="1" applyBorder="1"/>
    <x:xf numFmtId="0" fontId="8" fillId="0" borderId="0" xfId="0" applyNumberFormat="1" applyFont="1" applyFill="1" applyBorder="1"/>
    <x:xf numFmtId="207" fontId="0" fillId="0" borderId="7" xfId="0" applyNumberFormat="1" applyFont="1" applyFill="1" applyBorder="1"/>
    <x:xf numFmtId="207" fontId="0" fillId="0" borderId="9" xfId="0" applyNumberFormat="1" applyFont="1" applyFill="1" applyBorder="1"/>
    <x:xf numFmtId="207" fontId="0" fillId="0" borderId="12" xfId="0" applyNumberFormat="1" applyFont="1" applyFill="1" applyBorder="1"/>
    <x:xf numFmtId="207" fontId="4" fillId="4" borderId="15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6" fontId="0" fillId="0" borderId="9" xfId="0" applyNumberFormat="1" applyFont="1" applyFill="1" applyBorder="1"/>
    <x:xf numFmtId="206" fontId="4" fillId="4" borderId="15" xfId="0" applyNumberFormat="1" applyFont="1" applyFill="1" applyBorder="1"/>
    <x:xf numFmtId="208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6" borderId="8" xfId="0" applyNumberFormat="1" applyFont="1" applyFill="1" applyBorder="1"/>
    <x:xf numFmtId="205" fontId="0" fillId="6" xfId="0" applyNumberFormat="1" applyFont="1" applyFill="1" applyBorder="0"/>
    <x:xf numFmtId="206" fontId="0" fillId="6" xfId="0" applyNumberFormat="1" applyFont="1" applyFill="1" applyBorder="0"/>
    <x:xf numFmtId="207" fontId="0" fillId="6" xfId="0" applyNumberFormat="1" applyFont="1" applyFill="1" applyBorder="0"/>
    <x:xf numFmtId="0" fontId="0" fillId="6" borderId="9" xfId="0" applyNumberFormat="1" applyFont="1" applyFill="1" applyBorder="1"/>
    <x:xf numFmtId="0" fontId="4" fillId="6" borderId="8" xfId="0" applyNumberFormat="1" applyFont="1" applyFill="1" applyBorder="1"/>
    <x:xf numFmtId="205" fontId="4" fillId="6" xfId="0" applyNumberFormat="1" applyFont="1" applyFill="1" applyBorder="0"/>
    <x:xf numFmtId="206" fontId="4" fillId="6" xfId="0" applyNumberFormat="1" applyFont="1" applyFill="1" applyBorder="0"/>
    <x:xf numFmtId="207" fontId="4" fillId="6" xfId="0" applyNumberFormat="1" applyFont="1" applyFill="1" applyBorder="0"/>
    <x:xf numFmtId="0" fontId="4" fillId="6" borderId="9" xfId="0" applyNumberFormat="1" applyFont="1" applyFill="1" applyBorder="1"/>
    <x:xf numFmtId="0" fontId="4" fillId="6" borderId="13" xfId="0" applyNumberFormat="1" applyFont="1" applyFill="1" applyBorder="1"/>
    <x:xf numFmtId="205" fontId="4" fillId="6" borderId="14" xfId="0" applyNumberFormat="1" applyFont="1" applyFill="1" applyBorder="1"/>
    <x:xf numFmtId="206" fontId="4" fillId="6" borderId="14" xfId="0" applyNumberFormat="1" applyFont="1" applyFill="1" applyBorder="1"/>
    <x:xf numFmtId="207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4" xfId="0" applyNumberFormat="1" applyFont="1" applyFill="1" applyBorder="1"/>
    <x:xf numFmtId="207" fontId="4" fillId="6" borderId="15" xfId="0" applyNumberFormat="1" applyFont="1" applyFill="1" applyBorder="1"/>
    <x:xf numFmtId="0" fontId="0" fillId="6" xfId="0" applyNumberFormat="1" applyFont="1" applyFill="1" applyBorder="0"/>
    <x:xf numFmtId="206" fontId="0" fillId="6" borderId="9" xfId="0" applyNumberFormat="1" applyFont="1" applyFill="1" applyBorder="1"/>
    <x:xf numFmtId="0" fontId="4" fillId="6" xfId="0" applyNumberFormat="1" applyFont="1" applyFill="1" applyBorder="0"/>
    <x:xf numFmtId="206" fontId="4" fillId="6" borderId="9" xfId="0" applyNumberFormat="1" applyFont="1" applyFill="1" applyBorder="1"/>
    <x:xf numFmtId="206" fontId="4" fillId="6" borderId="15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271e69a87491d" /><Relationship Type="http://schemas.openxmlformats.org/officeDocument/2006/relationships/theme" Target="/xl/theme/theme1.xml" Id="R98a92124f0bf487b" /><Relationship Type="http://schemas.openxmlformats.org/officeDocument/2006/relationships/sharedStrings" Target="/xl/sharedStrings.xml" Id="R95f6a4c4dc0740c8" /><Relationship Type="http://schemas.openxmlformats.org/officeDocument/2006/relationships/worksheet" Target="/xl/worksheets/sheet1.xml" Id="R65c32b1370db4c93" /><Relationship Type="http://schemas.openxmlformats.org/officeDocument/2006/relationships/worksheet" Target="/xl/worksheets/sheet2.xml" Id="Rb38e7f1ea6684b02" /><Relationship Type="http://schemas.openxmlformats.org/officeDocument/2006/relationships/worksheet" Target="/xl/worksheets/sheet3.xml" Id="R589ca5746b474cec" /><Relationship Type="http://schemas.openxmlformats.org/officeDocument/2006/relationships/worksheet" Target="/xl/worksheets/sheet4.xml" Id="R522345447f9a41c4" /><Relationship Type="http://schemas.openxmlformats.org/officeDocument/2006/relationships/worksheet" Target="/xl/worksheets/sheet5.xml" Id="Rbec26ce6d5c142d4" /><Relationship Type="http://schemas.openxmlformats.org/officeDocument/2006/relationships/worksheet" Target="/xl/worksheets/sheet6.xml" Id="R198656c6f6e74a43" /><Relationship Type="http://schemas.openxmlformats.org/officeDocument/2006/relationships/worksheet" Target="/xl/worksheets/sheet7.xml" Id="Rf62b0f4c65bc4e04" /><Relationship Type="http://schemas.openxmlformats.org/officeDocument/2006/relationships/worksheet" Target="/xl/worksheets/sheet8.xml" Id="R3ce63e608e754d3d" /><Relationship Type="http://schemas.openxmlformats.org/officeDocument/2006/relationships/worksheet" Target="/xl/worksheets/sheet9.xml" Id="Rdca2f7ab4df54444" /><Relationship Type="http://schemas.openxmlformats.org/officeDocument/2006/relationships/worksheet" Target="/xl/worksheets/sheet10.xml" Id="R095314cf4fc34173" /><Relationship Type="http://schemas.openxmlformats.org/officeDocument/2006/relationships/worksheet" Target="/xl/worksheets/sheet11.xml" Id="Re67498ae284e4b93" /><Relationship Type="http://schemas.openxmlformats.org/officeDocument/2006/relationships/worksheet" Target="/xl/worksheets/sheet12.xml" Id="Rb8177749a3f84a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f25f21182848c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1176147bda44ef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2b2d46474b34ca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Doanh thu</c:v>
          </c:tx>
          <c:marker>
            <c:symbol val="none"/>
          </c:marker>
          <c:cat>
            <c:strRef>
              <c:f>'BC_DoanhThu'!$A$11:$A$18</c:f>
              <c:strCache>
                <c:ptCount val="0"/>
              </c:strCache>
            </c:strRef>
          </c:cat>
          <c:val>
            <c:numRef>
              <c:f>'BC_DoanhThu'!$C$11:$C$18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Đã bán</c:v>
          </c:tx>
          <c:cat>
            <c:strRef>
              <c:f>'BC_SanPham_DuAn'!$B$11:$B$16</c:f>
              <c:strCache>
                <c:ptCount val="0"/>
              </c:strCache>
            </c:strRef>
          </c:cat>
          <c:val>
            <c:numRef>
              <c:f>'BC_SanPham_DuAn'!$F$11:$F$16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Doanh số</c:v>
          </c:tx>
          <c:cat>
            <c:strRef>
              <c:f>'BC_DoanhSo_NV'!$B$11:$B$19</c:f>
              <c:strCache>
                <c:ptCount val="0"/>
              </c:strCache>
            </c:strRef>
          </c:cat>
          <c:val>
            <c:numRef>
              <c:f>'BC_DoanhSo_NV'!$E$11:$E$19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f25f21182848c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176147bda44ef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b2d46474b34c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uDauTuTable" displayName="ChuDauTuTable" ref="A1:B5" headerRowCount="1" totalsRowCount="0" totalsRowShown="0">
  <x:tableColumns count="2">
    <x:tableColumn id="1" name="MaCDT"/>
    <x:tableColumn id="2" name="TenCD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uAnTable" displayName="DuAnTable" ref="A1:E7" headerRowCount="1" totalsRowCount="0" totalsRowShown="0">
  <x:tableColumns count="5">
    <x:tableColumn id="1" name="MaDA"/>
    <x:tableColumn id="2" name="TenDA"/>
    <x:tableColumn id="3" name="DiaDiem"/>
    <x:tableColumn id="4" name="TrangThaiDA"/>
    <x:tableColumn id="5" name="MaCD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aiSanPhamTable" displayName="LoaiSanPhamTable" ref="A1:B15" headerRowCount="1" totalsRowCount="0" totalsRowShown="0">
  <x:tableColumns count="2">
    <x:tableColumn id="1" name="MaLoaisanpham"/>
    <x:tableColumn id="2" name="LoaiSanpha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ongBanTable" displayName="PhongBanTable" ref="A1:B5" headerRowCount="1" totalsRowCount="0" totalsRowShown="0">
  <x:tableColumns count="2">
    <x:tableColumn id="1" name="MaPhongban"/>
    <x:tableColumn id="2" name="TenPhongba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hanVienTable" displayName="NhanVienTable" ref="A1:E16" headerRowCount="1" totalsRowCount="0" totalsRowShown="0">
  <x:tableColumns count="5">
    <x:tableColumn id="1" name="MaNV"/>
    <x:tableColumn id="2" name="ChucVu"/>
    <x:tableColumn id="3" name="SoDienThoaiNV"/>
    <x:tableColumn id="4" name="HoTenNV"/>
    <x:tableColumn id="5" name="MaPhongba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anPhamTable" displayName="SanPhamTable" ref="A1:J220" headerRowCount="1" totalsRowCount="0" totalsRowShown="0">
  <x:tableColumns count="10">
    <x:tableColumn id="1" name="MaCan"/>
    <x:tableColumn id="2" name="DienTich"/>
    <x:tableColumn id="3" name="Huong"/>
    <x:tableColumn id="4" name="GiaNiemYet"/>
    <x:tableColumn id="5" name="GiaTTS"/>
    <x:tableColumn id="6" name="GiaTTC"/>
    <x:tableColumn id="7" name="GiaVay"/>
    <x:tableColumn id="8" name="TrangThai"/>
    <x:tableColumn id="9" name="MaDA"/>
    <x:tableColumn id="10" name="MaLoaisanpha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okingTable" displayName="BookingTable" ref="A1:H49" headerRowCount="1" totalsRowCount="0" totalsRowShown="0">
  <x:tableColumns count="8">
    <x:tableColumn id="1" name="MaLuotBooking"/>
    <x:tableColumn id="2" name="TGBooking"/>
    <x:tableColumn id="3" name="STTBooking"/>
    <x:tableColumn id="4" name="TGBatDauKhopCan"/>
    <x:tableColumn id="5" name="TGKetThucKhopCan"/>
    <x:tableColumn id="6" name="TrangThaiKhopCan"/>
    <x:tableColumn id="7" name="MaDA"/>
    <x:tableColumn id="8" name="MaNV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uotLockTable" displayName="LuotLockTable" ref="A1:I41" headerRowCount="1" totalsRowCount="0" totalsRowShown="0">
  <x:tableColumns count="9">
    <x:tableColumn id="1" name="MaLock"/>
    <x:tableColumn id="2" name="ThoiGianBatDau"/>
    <x:tableColumn id="3" name="ThoiGianKetThuc"/>
    <x:tableColumn id="4" name="SoTienCoc"/>
    <x:tableColumn id="5" name="TrangThaiGiaoDich"/>
    <x:tableColumn id="6" name="ThoiGianLock"/>
    <x:tableColumn id="7" name="GhiChu"/>
    <x:tableColumn id="8" name="MaCan"/>
    <x:tableColumn id="9" name="MaNV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opDongTable" displayName="HopDongTable" ref="A1:Q25" headerRowCount="1" totalsRowCount="0" totalsRowShown="0">
  <x:tableColumns count="17">
    <x:tableColumn id="1" name="MaHopDong"/>
    <x:tableColumn id="2" name="MaKH"/>
    <x:tableColumn id="3" name="SoDienThoaiKH"/>
    <x:tableColumn id="4" name="CCCDKH"/>
    <x:tableColumn id="5" name="EmailKH"/>
    <x:tableColumn id="6" name="DiaChiKH"/>
    <x:tableColumn id="7" name="HoTenKH"/>
    <x:tableColumn id="8" name="PhuongThanhToan"/>
    <x:tableColumn id="9" name="GiaHopDong"/>
    <x:tableColumn id="10" name="ThoiGianKyHDMB"/>
    <x:tableColumn id="11" name="TrangThaiHDMB"/>
    <x:tableColumn id="12" name="DoanhSo"/>
    <x:tableColumn id="13" name="HoaHong"/>
    <x:tableColumn id="14" name="TrangThaiThanhToan"/>
    <x:tableColumn id="15" name="GhiChu"/>
    <x:tableColumn id="16" name="MaCan"/>
    <x:tableColumn id="17" name="MaN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fe0ccb874a47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e808eefc5e43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aff05b21f345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86894a0d5243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29018fe56564a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ec1f85f69a4d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f3b0f37e3414f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8addeec8ebe4d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f5aee2a890543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5e4e4097ce44f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76f7e7f73b1a44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3.xml" Id="R70e7ca6b9cbe4b91" /></Relationships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9.25" hidden="0" customWidth="1"/>
  </x:cols>
  <x:sheetData>
    <x:row r="1" ht="32" hidden="0" customHeight="1">
      <x:c r="A1" s="6" t="str">
        <x:v>MaCDT</x:v>
      </x:c>
      <x:c r="B1" s="6" t="str">
        <x:v>TenCDT</x:v>
      </x:c>
    </x:row>
    <x:row r="2" ht="15" hidden="0" customHeight="1">
      <x:c r="A2" s="14" t="str">
        <x:v>CDT001</x:v>
      </x:c>
      <x:c r="B2" s="12" t="str">
        <x:v>SJ Group</x:v>
      </x:c>
    </x:row>
    <x:row r="3" ht="15" hidden="0" customHeight="1">
      <x:c r="A3" s="14" t="str">
        <x:v>CDT002</x:v>
      </x:c>
      <x:c r="B3" s="12" t="str">
        <x:v>Masterise Homes</x:v>
      </x:c>
    </x:row>
    <x:row r="4">
      <x:c r="A4" s="15" t="str">
        <x:v>CDT003</x:v>
      </x:c>
      <x:c r="B4" t="str">
        <x:v>ParkCity Hà Nội</x:v>
      </x:c>
    </x:row>
    <x:row r="5">
      <x:c r="A5" s="15" t="str">
        <x:v>CDT004</x:v>
      </x:c>
      <x:c r="B5" t="str">
        <x:v>CapitaLand Development</x:v>
      </x:c>
    </x:row>
  </x:sheetData>
  <x:pageMargins left="0.7" right="0.7" top="0.75" bottom="0.75" header="0.3" footer="0.3"/>
  <x:tableParts count="1">
    <x:tablePart xmlns:r="http://schemas.openxmlformats.org/officeDocument/2006/relationships" r:id="R0dfe0ccb874a476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24.3799991607666" hidden="0" customWidth="1"/>
    <x:col min="3" max="3" width="45.25" hidden="0" customWidth="1"/>
    <x:col min="4" max="4" width="12.75" hidden="0" customWidth="1"/>
    <x:col min="5" max="5" width="8.630000114440918" hidden="0" customWidth="1"/>
  </x:cols>
  <x:sheetData>
    <x:row r="1" ht="32" hidden="0" customHeight="1">
      <x:c r="A1" s="6" t="str">
        <x:v>MaDA</x:v>
      </x:c>
      <x:c r="B1" s="6" t="str">
        <x:v>TenDA</x:v>
      </x:c>
      <x:c r="C1" s="6" t="str">
        <x:v>DiaDiem</x:v>
      </x:c>
      <x:c r="D1" s="6" t="str">
        <x:v>TrangThaiDA</x:v>
      </x:c>
      <x:c r="E1" s="6" t="str">
        <x:v>MaCDT</x:v>
      </x:c>
    </x:row>
    <x:row r="2" ht="15" hidden="0" customHeight="1">
      <x:c r="A2" s="14" t="str">
        <x:v>DA001</x:v>
      </x:c>
      <x:c r="B2" s="12" t="str">
        <x:v>The Vista Văn La - Cao tầng</x:v>
      </x:c>
      <x:c r="C2" s="12" t="str">
        <x:v>Văn La, Hà Đông, Hà Nội</x:v>
      </x:c>
      <x:c r="D2" s="12" t="str">
        <x:v>Đang mở bán</x:v>
      </x:c>
      <x:c r="E2" s="14" t="str">
        <x:v>CDT001</x:v>
      </x:c>
    </x:row>
    <x:row r="3" ht="15" hidden="0" customHeight="1">
      <x:c r="A3" s="14" t="str">
        <x:v>DA002</x:v>
      </x:c>
      <x:c r="B3" s="12" t="str">
        <x:v>The Vista Văn La - Thấp tầng</x:v>
      </x:c>
      <x:c r="C3" s="12" t="str">
        <x:v>Văn La, Hà Đông, Hà Nội</x:v>
      </x:c>
      <x:c r="D3" s="12" t="str">
        <x:v>Đang mở bán</x:v>
      </x:c>
      <x:c r="E3" s="14" t="str">
        <x:v>CDT001</x:v>
      </x:c>
    </x:row>
    <x:row r="4" ht="15" hidden="0" customHeight="1">
      <x:c r="A4" s="14" t="str">
        <x:v>DA003</x:v>
      </x:c>
      <x:c r="B4" s="12" t="str">
        <x:v>LUMIÈRE Hanoi Seasons Garden</x:v>
      </x:c>
      <x:c r="C4" s="12" t="str">
        <x:v>Cao Xà Lá, Hà Nội</x:v>
      </x:c>
      <x:c r="D4" s="12" t="str">
        <x:v>Đang mở bán</x:v>
      </x:c>
      <x:c r="E4" s="14" t="str">
        <x:v>CDT002</x:v>
      </x:c>
    </x:row>
    <x:row r="5" ht="15" hidden="0" customHeight="1">
      <x:c r="A5" s="14" t="str">
        <x:v>DA004</x:v>
      </x:c>
      <x:c r="B5" s="12" t="str">
        <x:v>Masteri Grand Coast</x:v>
      </x:c>
      <x:c r="C5" s="12" t="str">
        <x:v>Ocean Park 2, Ocean City, Hà Nội</x:v>
      </x:c>
      <x:c r="D5" s="12" t="str">
        <x:v>Đang mở bán</x:v>
      </x:c>
      <x:c r="E5" s="14" t="str">
        <x:v>CDT002</x:v>
      </x:c>
    </x:row>
    <x:row r="6">
      <x:c r="A6" s="15" t="str">
        <x:v>DA005</x:v>
      </x:c>
      <x:c r="B6" t="str">
        <x:v>Le Parc Place</x:v>
      </x:c>
      <x:c r="C6" t="str">
        <x:v>KĐT ParkCity Hanoi, đường Lê Trọng Tấn, Dương Nội, Hà Nội</x:v>
      </x:c>
      <x:c r="D6" t="str">
        <x:v>Sắp mở bán</x:v>
      </x:c>
      <x:c r="E6" s="15" t="str">
        <x:v>CDT003</x:v>
      </x:c>
    </x:row>
    <x:row r="7">
      <x:c r="A7" s="15" t="str">
        <x:v>DA006</x:v>
      </x:c>
      <x:c r="B7" t="str">
        <x:v>Maison Privée</x:v>
      </x:c>
      <x:c r="C7" t="str">
        <x:v>KĐT Ciputra, Tây Hồ, Hà Nội</x:v>
      </x:c>
      <x:c r="D7" t="str">
        <x:v>Sắp mở bán</x:v>
      </x:c>
      <x:c r="E7" s="15" t="str">
        <x:v>CDT004</x:v>
      </x:c>
    </x:row>
  </x:sheetData>
  <x:pageMargins left="0.7" right="0.7" top="0.75" bottom="0.75" header="0.3" footer="0.3"/>
  <x:tableParts count="1">
    <x:tablePart xmlns:r="http://schemas.openxmlformats.org/officeDocument/2006/relationships" r:id="R84e808eefc5e43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</x:cols>
  <x:sheetData>
    <x:row r="1" ht="32" hidden="0" customHeight="1">
      <x:c r="A1" s="6" t="str">
        <x:v>MaLoaisanpham</x:v>
      </x:c>
      <x:c r="B1" s="6" t="str">
        <x:v>LoaiSanpham</x:v>
      </x:c>
    </x:row>
    <x:row r="2" ht="15" hidden="0" customHeight="1">
      <x:c r="A2" s="14" t="str">
        <x:v>LSP001</x:v>
      </x:c>
      <x:c r="B2" s="12" t="str">
        <x:v>STUDIO</x:v>
      </x:c>
    </x:row>
    <x:row r="3" ht="15" hidden="0" customHeight="1">
      <x:c r="A3" s="14" t="str">
        <x:v>LSP002</x:v>
      </x:c>
      <x:c r="B3" s="12" t="str">
        <x:v>1BR</x:v>
      </x:c>
    </x:row>
    <x:row r="4" ht="15" hidden="0" customHeight="1">
      <x:c r="A4" s="14" t="str">
        <x:v>LSP003</x:v>
      </x:c>
      <x:c r="B4" s="12" t="str">
        <x:v>1BR+</x:v>
      </x:c>
    </x:row>
    <x:row r="5" ht="15" hidden="0" customHeight="1">
      <x:c r="A5" s="14" t="str">
        <x:v>LSP004</x:v>
      </x:c>
      <x:c r="B5" s="12" t="str">
        <x:v>1BR+1MR</x:v>
      </x:c>
    </x:row>
    <x:row r="6" ht="15" hidden="0" customHeight="1">
      <x:c r="A6" s="14" t="str">
        <x:v>LSP005</x:v>
      </x:c>
      <x:c r="B6" s="12" t="str">
        <x:v>2BR</x:v>
      </x:c>
    </x:row>
    <x:row r="7" ht="15" hidden="0" customHeight="1">
      <x:c r="A7" s="14" t="str">
        <x:v>LSP006</x:v>
      </x:c>
      <x:c r="B7" s="12" t="str">
        <x:v>2BR+</x:v>
      </x:c>
    </x:row>
    <x:row r="8" ht="15" hidden="0" customHeight="1">
      <x:c r="A8" s="14" t="str">
        <x:v>LSP007</x:v>
      </x:c>
      <x:c r="B8" s="12" t="str">
        <x:v>2BR+1MR</x:v>
      </x:c>
    </x:row>
    <x:row r="9" ht="15" hidden="0" customHeight="1">
      <x:c r="A9" s="14" t="str">
        <x:v>LSP008</x:v>
      </x:c>
      <x:c r="B9" s="12" t="str">
        <x:v>3BR</x:v>
      </x:c>
    </x:row>
    <x:row r="10" ht="15" hidden="0" customHeight="1">
      <x:c r="A10" s="14" t="str">
        <x:v>LSP009</x:v>
      </x:c>
      <x:c r="B10" s="12" t="str">
        <x:v>3BR+1MR</x:v>
      </x:c>
    </x:row>
    <x:row r="11" ht="15" hidden="0" customHeight="1">
      <x:c r="A11" s="14" t="str">
        <x:v>LSP010</x:v>
      </x:c>
      <x:c r="B11" s="12" t="str">
        <x:v>4BR</x:v>
      </x:c>
    </x:row>
    <x:row r="12" ht="15" hidden="0" customHeight="1">
      <x:c r="A12" s="14" t="str">
        <x:v>LSP011</x:v>
      </x:c>
      <x:c r="B12" s="12" t="str">
        <x:v>2PN</x:v>
      </x:c>
    </x:row>
    <x:row r="13" ht="15" hidden="0" customHeight="1">
      <x:c r="A13" s="14" t="str">
        <x:v>LSP012</x:v>
      </x:c>
      <x:c r="B13" s="12" t="str">
        <x:v>3PN</x:v>
      </x:c>
    </x:row>
    <x:row r="14" ht="15" hidden="0" customHeight="1">
      <x:c r="A14" s="14" t="str">
        <x:v>LSP013</x:v>
      </x:c>
      <x:c r="B14" s="12" t="str">
        <x:v>3PN+</x:v>
      </x:c>
    </x:row>
    <x:row r="15" ht="15" hidden="0" customHeight="1">
      <x:c r="A15" s="14" t="str">
        <x:v>LSP014</x:v>
      </x:c>
      <x:c r="B15" s="12" t="str">
        <x:v>Liền kề</x:v>
      </x:c>
    </x:row>
  </x:sheetData>
  <x:pageMargins left="0.7" right="0.7" top="0.75" bottom="0.75" header="0.3" footer="0.3"/>
  <x:tableParts count="1">
    <x:tablePart xmlns:r="http://schemas.openxmlformats.org/officeDocument/2006/relationships" r:id="R61aff05b21f345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</x:cols>
  <x:sheetData>
    <x:row r="1" ht="32" hidden="0" customHeight="1">
      <x:c r="A1" s="6" t="str">
        <x:v>MaPhongban</x:v>
      </x:c>
      <x:c r="B1" s="6" t="str">
        <x:v>TenPhongban</x:v>
      </x:c>
    </x:row>
    <x:row r="2" ht="15" hidden="0" customHeight="1">
      <x:c r="A2" s="14" t="str">
        <x:v>PB001</x:v>
      </x:c>
      <x:c r="B2" s="12" t="str">
        <x:v>Phòng Kinh doanh</x:v>
      </x:c>
    </x:row>
    <x:row r="3" ht="15" hidden="0" customHeight="1">
      <x:c r="A3" s="14" t="str">
        <x:v>PB002</x:v>
      </x:c>
      <x:c r="B3" s="12" t="str">
        <x:v>Phòng Quản lý sản phẩm</x:v>
      </x:c>
    </x:row>
    <x:row r="4" ht="15" hidden="0" customHeight="1">
      <x:c r="A4" s="14" t="str">
        <x:v>PB003</x:v>
      </x:c>
      <x:c r="B4" s="12" t="str">
        <x:v>Sales Admin</x:v>
      </x:c>
    </x:row>
    <x:row r="5" ht="15" hidden="0" customHeight="1">
      <x:c r="A5" s="14" t="str">
        <x:v>PB004</x:v>
      </x:c>
      <x:c r="B5" s="12" t="str">
        <x:v>Ban Lãnh đạo</x:v>
      </x:c>
    </x:row>
  </x:sheetData>
  <x:pageMargins left="0.7" right="0.7" top="0.75" bottom="0.75" header="0.3" footer="0.3"/>
  <x:tableParts count="1">
    <x:tablePart xmlns:r="http://schemas.openxmlformats.org/officeDocument/2006/relationships" r:id="R3586894a0d5243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23.1299991607666" hidden="0" customWidth="1"/>
    <x:col min="3" max="3" width="15" hidden="0" customWidth="1"/>
    <x:col min="4" max="4" width="15.880000114440918" hidden="0" customWidth="1"/>
    <x:col min="5" max="5" width="13.25" hidden="0" customWidth="1"/>
  </x:cols>
  <x:sheetData>
    <x:row r="1" ht="32" hidden="0" customHeight="1">
      <x:c r="A1" s="6" t="str">
        <x:v>MaNV</x:v>
      </x:c>
      <x:c r="B1" s="6" t="str">
        <x:v>ChucVu</x:v>
      </x:c>
      <x:c r="C1" s="6" t="str">
        <x:v>SoDienThoaiNV</x:v>
      </x:c>
      <x:c r="D1" s="6" t="str">
        <x:v>HoTenNV</x:v>
      </x:c>
      <x:c r="E1" s="6" t="str">
        <x:v>MaPhongban</x:v>
      </x:c>
    </x:row>
    <x:row r="2" ht="15" hidden="0" customHeight="1">
      <x:c r="A2" s="14" t="str">
        <x:v>NV001</x:v>
      </x:c>
      <x:c r="B2" s="12" t="str">
        <x:v>Chuyên viên kinh doanh</x:v>
      </x:c>
      <x:c r="C2" s="14" t="str">
        <x:v>0884533185</x:v>
      </x:c>
      <x:c r="D2" s="12" t="str">
        <x:v>Nguyễn Minh Khôi</x:v>
      </x:c>
      <x:c r="E2" s="14" t="str">
        <x:v>PB001</x:v>
      </x:c>
    </x:row>
    <x:row r="3" ht="15" hidden="0" customHeight="1">
      <x:c r="A3" s="14" t="str">
        <x:v>NV002</x:v>
      </x:c>
      <x:c r="B3" s="12" t="str">
        <x:v>Chuyên viên kinh doanh</x:v>
      </x:c>
      <x:c r="C3" s="14" t="str">
        <x:v>0339725912</x:v>
      </x:c>
      <x:c r="D3" s="12" t="str">
        <x:v>Trần Thu Hà</x:v>
      </x:c>
      <x:c r="E3" s="14" t="str">
        <x:v>PB001</x:v>
      </x:c>
    </x:row>
    <x:row r="4" ht="15" hidden="0" customHeight="1">
      <x:c r="A4" s="14" t="str">
        <x:v>NV003</x:v>
      </x:c>
      <x:c r="B4" s="12" t="str">
        <x:v>Chuyên viên kinh doanh</x:v>
      </x:c>
      <x:c r="C4" s="14" t="str">
        <x:v>0865277821</x:v>
      </x:c>
      <x:c r="D4" s="12" t="str">
        <x:v>Lê Hoàng Nam</x:v>
      </x:c>
      <x:c r="E4" s="14" t="str">
        <x:v>PB001</x:v>
      </x:c>
    </x:row>
    <x:row r="5" ht="15" hidden="0" customHeight="1">
      <x:c r="A5" s="14" t="str">
        <x:v>NV004</x:v>
      </x:c>
      <x:c r="B5" s="12" t="str">
        <x:v>Chuyên viên kinh doanh</x:v>
      </x:c>
      <x:c r="C5" s="14" t="str">
        <x:v>0391766597</x:v>
      </x:c>
      <x:c r="D5" s="12" t="str">
        <x:v>Phạm Ngọc Anh</x:v>
      </x:c>
      <x:c r="E5" s="14" t="str">
        <x:v>PB001</x:v>
      </x:c>
    </x:row>
    <x:row r="6" ht="15" hidden="0" customHeight="1">
      <x:c r="A6" s="14" t="str">
        <x:v>NV005</x:v>
      </x:c>
      <x:c r="B6" s="12" t="str">
        <x:v>Chuyên viên kinh doanh</x:v>
      </x:c>
      <x:c r="C6" s="14" t="str">
        <x:v>0973826294</x:v>
      </x:c>
      <x:c r="D6" s="12" t="str">
        <x:v>Đỗ Quang Huy</x:v>
      </x:c>
      <x:c r="E6" s="14" t="str">
        <x:v>PB001</x:v>
      </x:c>
    </x:row>
    <x:row r="7" ht="15" hidden="0" customHeight="1">
      <x:c r="A7" s="14" t="str">
        <x:v>NV006</x:v>
      </x:c>
      <x:c r="B7" s="12" t="str">
        <x:v>Trưởng nhóm kinh doanh</x:v>
      </x:c>
      <x:c r="C7" s="14" t="str">
        <x:v>0325001434</x:v>
      </x:c>
      <x:c r="D7" s="12" t="str">
        <x:v>Bùi Khánh Linh</x:v>
      </x:c>
      <x:c r="E7" s="14" t="str">
        <x:v>PB001</x:v>
      </x:c>
    </x:row>
    <x:row r="8" ht="15" hidden="0" customHeight="1">
      <x:c r="A8" s="14" t="str">
        <x:v>NV007</x:v>
      </x:c>
      <x:c r="B8" s="12" t="str">
        <x:v>Sales Admin</x:v>
      </x:c>
      <x:c r="C8" s="14" t="str">
        <x:v>0352130540</x:v>
      </x:c>
      <x:c r="D8" s="12" t="str">
        <x:v>Vũ Mai Phương</x:v>
      </x:c>
      <x:c r="E8" s="14" t="str">
        <x:v>PB003</x:v>
      </x:c>
    </x:row>
    <x:row r="9" ht="15" hidden="0" customHeight="1">
      <x:c r="A9" s="14" t="str">
        <x:v>NV008</x:v>
      </x:c>
      <x:c r="B9" s="12" t="str">
        <x:v>Sales Admin</x:v>
      </x:c>
      <x:c r="C9" s="14" t="str">
        <x:v>0329460655</x:v>
      </x:c>
      <x:c r="D9" s="12" t="str">
        <x:v>Hoàng Đức Anh</x:v>
      </x:c>
      <x:c r="E9" s="14" t="str">
        <x:v>PB003</x:v>
      </x:c>
    </x:row>
    <x:row r="10" ht="15" hidden="0" customHeight="1">
      <x:c r="A10" s="14" t="str">
        <x:v>NV009</x:v>
      </x:c>
      <x:c r="B10" s="12" t="str">
        <x:v>Chuyên viên quản lý sản phẩm</x:v>
      </x:c>
      <x:c r="C10" s="14" t="str">
        <x:v>0350651373</x:v>
      </x:c>
      <x:c r="D10" s="12" t="str">
        <x:v>Nguyễn Thùy Dương</x:v>
      </x:c>
      <x:c r="E10" s="14" t="str">
        <x:v>PB002</x:v>
      </x:c>
    </x:row>
    <x:row r="11" ht="15" hidden="0" customHeight="1">
      <x:c r="A11" s="14" t="str">
        <x:v>NV010</x:v>
      </x:c>
      <x:c r="B11" s="12" t="str">
        <x:v>Quản lý dự án</x:v>
      </x:c>
      <x:c r="C11" s="14" t="str">
        <x:v>0890098659</x:v>
      </x:c>
      <x:c r="D11" s="12" t="str">
        <x:v>Trần Gia Bảo</x:v>
      </x:c>
      <x:c r="E11" s="14" t="str">
        <x:v>PB002</x:v>
      </x:c>
    </x:row>
    <x:row r="12">
      <x:c r="A12" s="15" t="str">
        <x:v>NV011</x:v>
      </x:c>
      <x:c r="B12" t="str">
        <x:v>Chuyên viên kinh doanh</x:v>
      </x:c>
      <x:c r="C12" s="15" t="str">
        <x:v>0983657863</x:v>
      </x:c>
      <x:c r="D12" t="str">
        <x:v>Đặng Minh Anh</x:v>
      </x:c>
      <x:c r="E12" s="15" t="str">
        <x:v>PB001</x:v>
      </x:c>
    </x:row>
    <x:row r="13">
      <x:c r="A13" s="15" t="str">
        <x:v>NV012</x:v>
      </x:c>
      <x:c r="B13" t="str">
        <x:v>Chuyên viên kinh doanh</x:v>
      </x:c>
      <x:c r="C13" s="15" t="str">
        <x:v>0889756920</x:v>
      </x:c>
      <x:c r="D13" t="str">
        <x:v>Phan Hải Yến</x:v>
      </x:c>
      <x:c r="E13" s="15" t="str">
        <x:v>PB001</x:v>
      </x:c>
    </x:row>
    <x:row r="14">
      <x:c r="A14" s="15" t="str">
        <x:v>NV013</x:v>
      </x:c>
      <x:c r="B14" t="str">
        <x:v>Chuyên viên kinh doanh</x:v>
      </x:c>
      <x:c r="C14" s="15" t="str">
        <x:v>0343551717</x:v>
      </x:c>
      <x:c r="D14" t="str">
        <x:v>Võ Thành Đạt</x:v>
      </x:c>
      <x:c r="E14" s="15" t="str">
        <x:v>PB001</x:v>
      </x:c>
    </x:row>
    <x:row r="15">
      <x:c r="A15" s="15" t="str">
        <x:v>NV014</x:v>
      </x:c>
      <x:c r="B15" t="str">
        <x:v>Sales Admin</x:v>
      </x:c>
      <x:c r="C15" s="15" t="str">
        <x:v>0895557616</x:v>
      </x:c>
      <x:c r="D15" t="str">
        <x:v>Nguyễn Hải Anh</x:v>
      </x:c>
      <x:c r="E15" s="15" t="str">
        <x:v>PB003</x:v>
      </x:c>
    </x:row>
    <x:row r="16">
      <x:c r="A16" s="15" t="str">
        <x:v>NV015</x:v>
      </x:c>
      <x:c r="B16" t="str">
        <x:v>Chuyên viên quản lý sản phẩm</x:v>
      </x:c>
      <x:c r="C16" s="15" t="str">
        <x:v>0989708023</x:v>
      </x:c>
      <x:c r="D16" t="str">
        <x:v>Lê Quốc Bảo</x:v>
      </x:c>
      <x:c r="E16" s="15" t="str">
        <x:v>PB002</x:v>
      </x:c>
    </x:row>
    <x:row r="17">
      <x:c r="C17" s="15"/>
    </x:row>
    <x:row r="18">
      <x:c r="C18" s="15"/>
    </x:row>
    <x:row r="19">
      <x:c r="C19" s="15"/>
    </x:row>
    <x:row r="20">
      <x:c r="C20" s="15"/>
    </x:row>
    <x:row r="21">
      <x:c r="C21" s="15"/>
    </x:row>
    <x:row r="22">
      <x:c r="C22" s="15"/>
    </x:row>
    <x:row r="23">
      <x:c r="C23" s="15"/>
    </x:row>
    <x:row r="24">
      <x:c r="C24" s="15"/>
    </x:row>
    <x:row r="25">
      <x:c r="C25" s="15"/>
    </x:row>
    <x:row r="26">
      <x:c r="C26" s="15"/>
    </x:row>
    <x:row r="27">
      <x:c r="C27" s="15"/>
    </x:row>
    <x:row r="28">
      <x:c r="C28" s="15"/>
    </x:row>
    <x:row r="29">
      <x:c r="C29" s="15"/>
    </x:row>
    <x:row r="30">
      <x:c r="C30" s="15"/>
    </x:row>
    <x:row r="31">
      <x:c r="C31" s="15"/>
    </x:row>
    <x:row r="32">
      <x:c r="C32" s="15"/>
    </x:row>
    <x:row r="33">
      <x:c r="C33" s="15"/>
    </x:row>
    <x:row r="34">
      <x:c r="C34" s="15"/>
    </x:row>
    <x:row r="35">
      <x:c r="C35" s="15"/>
    </x:row>
    <x:row r="36">
      <x:c r="C36" s="15"/>
    </x:row>
    <x:row r="37">
      <x:c r="C37" s="15"/>
    </x:row>
    <x:row r="38">
      <x:c r="C38" s="15"/>
    </x:row>
    <x:row r="39">
      <x:c r="C39" s="15"/>
    </x:row>
    <x:row r="40">
      <x:c r="C40" s="15"/>
    </x:row>
    <x:row r="41">
      <x:c r="C41" s="15"/>
    </x:row>
    <x:row r="42">
      <x:c r="C42" s="15"/>
    </x:row>
    <x:row r="43">
      <x:c r="C43" s="15"/>
    </x:row>
    <x:row r="44">
      <x:c r="C44" s="15"/>
    </x:row>
    <x:row r="45">
      <x:c r="C45" s="15"/>
    </x:row>
    <x:row r="46">
      <x:c r="C46" s="15"/>
    </x:row>
    <x:row r="47">
      <x:c r="C47" s="15"/>
    </x:row>
    <x:row r="48">
      <x:c r="C48" s="15"/>
    </x:row>
    <x:row r="49">
      <x:c r="C49" s="15"/>
    </x:row>
    <x:row r="50">
      <x:c r="C50" s="15"/>
    </x:row>
    <x:row r="51">
      <x:c r="C51" s="15"/>
    </x:row>
    <x:row r="52">
      <x:c r="C52" s="15"/>
    </x:row>
    <x:row r="53">
      <x:c r="C53" s="15"/>
    </x:row>
    <x:row r="54">
      <x:c r="C54" s="15"/>
    </x:row>
    <x:row r="55">
      <x:c r="C55" s="15"/>
    </x:row>
    <x:row r="56">
      <x:c r="C56" s="15"/>
    </x:row>
    <x:row r="57">
      <x:c r="C57" s="15"/>
    </x:row>
    <x:row r="58">
      <x:c r="C58" s="15"/>
    </x:row>
    <x:row r="59">
      <x:c r="C59" s="15"/>
    </x:row>
    <x:row r="60">
      <x:c r="C60" s="15"/>
    </x:row>
    <x:row r="61">
      <x:c r="C61" s="15"/>
    </x:row>
    <x:row r="62">
      <x:c r="C62" s="15"/>
    </x:row>
    <x:row r="63">
      <x:c r="C63" s="15"/>
    </x:row>
    <x:row r="64">
      <x:c r="C64" s="15"/>
    </x:row>
    <x:row r="65">
      <x:c r="C65" s="15"/>
    </x:row>
    <x:row r="66">
      <x:c r="C66" s="15"/>
    </x:row>
    <x:row r="67">
      <x:c r="C67" s="15"/>
    </x:row>
    <x:row r="68">
      <x:c r="C68" s="15"/>
    </x:row>
    <x:row r="69">
      <x:c r="C69" s="15"/>
    </x:row>
    <x:row r="70">
      <x:c r="C70" s="15"/>
    </x:row>
    <x:row r="71">
      <x:c r="C71" s="15"/>
    </x:row>
    <x:row r="72">
      <x:c r="C72" s="15"/>
    </x:row>
    <x:row r="73">
      <x:c r="C73" s="15"/>
    </x:row>
    <x:row r="74">
      <x:c r="C74" s="15"/>
    </x:row>
    <x:row r="75">
      <x:c r="C75" s="15"/>
    </x:row>
    <x:row r="76">
      <x:c r="C76" s="15"/>
    </x:row>
    <x:row r="77">
      <x:c r="C77" s="15"/>
    </x:row>
    <x:row r="78">
      <x:c r="C78" s="15"/>
    </x:row>
    <x:row r="79">
      <x:c r="C79" s="15"/>
    </x:row>
    <x:row r="80">
      <x:c r="C80" s="15"/>
    </x:row>
    <x:row r="81">
      <x:c r="C81" s="15"/>
    </x:row>
    <x:row r="82">
      <x:c r="C82" s="15"/>
    </x:row>
    <x:row r="83">
      <x:c r="C83" s="15"/>
    </x:row>
    <x:row r="84">
      <x:c r="C84" s="15"/>
    </x:row>
    <x:row r="85">
      <x:c r="C85" s="15"/>
    </x:row>
    <x:row r="86">
      <x:c r="C86" s="15"/>
    </x:row>
    <x:row r="87">
      <x:c r="C87" s="15"/>
    </x:row>
    <x:row r="88">
      <x:c r="C88" s="15"/>
    </x:row>
    <x:row r="89">
      <x:c r="C89" s="15"/>
    </x:row>
    <x:row r="90">
      <x:c r="C90" s="15"/>
    </x:row>
    <x:row r="91">
      <x:c r="C91" s="15"/>
    </x:row>
    <x:row r="92">
      <x:c r="C92" s="15"/>
    </x:row>
    <x:row r="93">
      <x:c r="C93" s="15"/>
    </x:row>
    <x:row r="94">
      <x:c r="C94" s="15"/>
    </x:row>
    <x:row r="95">
      <x:c r="C95" s="15"/>
    </x:row>
    <x:row r="96">
      <x:c r="C96" s="15"/>
    </x:row>
    <x:row r="97">
      <x:c r="C97" s="15"/>
    </x:row>
    <x:row r="98">
      <x:c r="C98" s="15"/>
    </x:row>
    <x:row r="99">
      <x:c r="C99" s="15"/>
    </x:row>
    <x:row r="100">
      <x:c r="C100" s="15"/>
    </x:row>
  </x:sheetData>
  <x:pageMargins left="0.7" right="0.7" top="0.75" bottom="0.75" header="0.3" footer="0.3"/>
  <x:tableParts count="1">
    <x:tablePart xmlns:r="http://schemas.openxmlformats.org/officeDocument/2006/relationships" r:id="R529018fe56564a7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</x:cols>
  <x:sheetData>
    <x:row r="1" ht="32" hidden="0" customHeight="1">
      <x:c r="A1" s="6" t="str">
        <x:v>MaCan</x:v>
      </x:c>
      <x:c r="B1" s="6" t="str">
        <x:v>DienTich</x:v>
      </x:c>
      <x:c r="C1" s="6" t="str">
        <x:v>Huong</x:v>
      </x:c>
      <x:c r="D1" s="6" t="str">
        <x:v>GiaNiemYet</x:v>
      </x:c>
      <x:c r="E1" s="6" t="str">
        <x:v>GiaTTS</x:v>
      </x:c>
      <x:c r="F1" s="6" t="str">
        <x:v>GiaTTC</x:v>
      </x:c>
      <x:c r="G1" s="6" t="str">
        <x:v>GiaVay</x:v>
      </x:c>
      <x:c r="H1" s="6" t="str">
        <x:v>TrangThai</x:v>
      </x:c>
      <x:c r="I1" s="6" t="str">
        <x:v>MaDA</x:v>
      </x:c>
      <x:c r="J1" s="6" t="str">
        <x:v>MaLoaisanpham</x:v>
      </x:c>
    </x:row>
    <x:row r="2" ht="15" hidden="0" customHeight="1">
      <x:c r="A2" s="14" t="str">
        <x:v>V1.0506</x:v>
      </x:c>
      <x:c r="B2" s="18" t="n">
        <x:v>96.63</x:v>
      </x:c>
      <x:c r="C2" s="12" t="str">
        <x:v>Tây Bắc</x:v>
      </x:c>
      <x:c r="D2" s="22" t="n">
        <x:v>8673179188</x:v>
      </x:c>
      <x:c r="E2" s="22" t="n">
        <x:v>7647677619</x:v>
      </x:c>
      <x:c r="F2" s="22" t="n">
        <x:v>8242496989</x:v>
      </x:c>
      <x:c r="G2" s="22" t="n">
        <x:v>8497419577</x:v>
      </x:c>
      <x:c r="H2" s="12" t="str">
        <x:v>Đã bán</x:v>
      </x:c>
      <x:c r="I2" s="14" t="str">
        <x:v>DA001</x:v>
      </x:c>
      <x:c r="J2" s="14" t="str">
        <x:v>LSP012</x:v>
      </x:c>
    </x:row>
    <x:row r="3" ht="15" hidden="0" customHeight="1">
      <x:c r="A3" s="14" t="str">
        <x:v>V1.0515</x:v>
      </x:c>
      <x:c r="B3" s="18" t="n">
        <x:v>103.36</x:v>
      </x:c>
      <x:c r="C3" s="12" t="str">
        <x:v>Đông Bắc</x:v>
      </x:c>
      <x:c r="D3" s="22" t="n">
        <x:v>9269512413</x:v>
      </x:c>
      <x:c r="E3" s="22" t="n">
        <x:v>8173501444</x:v>
      </x:c>
      <x:c r="F3" s="22" t="n">
        <x:v>8809218222</x:v>
      </x:c>
      <x:c r="G3" s="22" t="n">
        <x:v>9081668271</x:v>
      </x:c>
      <x:c r="H3" s="12" t="str">
        <x:v>Đã bán</x:v>
      </x:c>
      <x:c r="I3" s="14" t="str">
        <x:v>DA001</x:v>
      </x:c>
      <x:c r="J3" s="14" t="str">
        <x:v>LSP013</x:v>
      </x:c>
    </x:row>
    <x:row r="4" ht="15" hidden="0" customHeight="1">
      <x:c r="A4" s="14" t="str">
        <x:v>V1.0520</x:v>
      </x:c>
      <x:c r="B4" s="18" t="n">
        <x:v>96.63</x:v>
      </x:c>
      <x:c r="C4" s="12" t="str">
        <x:v>Đông Bắc</x:v>
      </x:c>
      <x:c r="D4" s="22" t="n">
        <x:v>8850182845</x:v>
      </x:c>
      <x:c r="E4" s="22" t="n">
        <x:v>7803752672</x:v>
      </x:c>
      <x:c r="F4" s="22" t="n">
        <x:v>8410711213</x:v>
      </x:c>
      <x:c r="G4" s="22" t="n">
        <x:v>8670836303</x:v>
      </x:c>
      <x:c r="H4" s="12" t="str">
        <x:v>Đã bán</x:v>
      </x:c>
      <x:c r="I4" s="14" t="str">
        <x:v>DA001</x:v>
      </x:c>
      <x:c r="J4" s="14" t="str">
        <x:v>LSP012</x:v>
      </x:c>
    </x:row>
    <x:row r="5" ht="15" hidden="0" customHeight="1">
      <x:c r="A5" s="14" t="str">
        <x:v>V1.0620</x:v>
      </x:c>
      <x:c r="B5" s="18" t="n">
        <x:v>96.63</x:v>
      </x:c>
      <x:c r="C5" s="12" t="str">
        <x:v>Đông Bắc</x:v>
      </x:c>
      <x:c r="D5" s="22" t="n">
        <x:v>8876974519</x:v>
      </x:c>
      <x:c r="E5" s="22" t="n">
        <x:v>7827376545</x:v>
      </x:c>
      <x:c r="F5" s="22" t="n">
        <x:v>8436172498</x:v>
      </x:c>
      <x:c r="G5" s="22" t="n">
        <x:v>8697085051</x:v>
      </x:c>
      <x:c r="H5" s="12" t="str">
        <x:v>Đã bán</x:v>
      </x:c>
      <x:c r="I5" s="14" t="str">
        <x:v>DA001</x:v>
      </x:c>
      <x:c r="J5" s="14" t="str">
        <x:v>LSP012</x:v>
      </x:c>
    </x:row>
    <x:row r="6" ht="15" hidden="0" customHeight="1">
      <x:c r="A6" s="14" t="str">
        <x:v>V1.0720</x:v>
      </x:c>
      <x:c r="B6" s="18" t="n">
        <x:v>96.63</x:v>
      </x:c>
      <x:c r="C6" s="12" t="str">
        <x:v>Đông Bắc</x:v>
      </x:c>
      <x:c r="D6" s="22" t="n">
        <x:v>8903766192</x:v>
      </x:c>
      <x:c r="E6" s="22" t="n">
        <x:v>7851000418</x:v>
      </x:c>
      <x:c r="F6" s="22" t="n">
        <x:v>8461633784</x:v>
      </x:c>
      <x:c r="G6" s="22" t="n">
        <x:v>8723333798</x:v>
      </x:c>
      <x:c r="H6" s="12" t="str">
        <x:v>Đã bán</x:v>
      </x:c>
      <x:c r="I6" s="14" t="str">
        <x:v>DA001</x:v>
      </x:c>
      <x:c r="J6" s="14" t="str">
        <x:v>LSP012</x:v>
      </x:c>
    </x:row>
    <x:row r="7" ht="15" hidden="0" customHeight="1">
      <x:c r="A7" s="14" t="str">
        <x:v>V1.0806</x:v>
      </x:c>
      <x:c r="B7" s="18" t="n">
        <x:v>96.63</x:v>
      </x:c>
      <x:c r="C7" s="12" t="str">
        <x:v>Tây Bắc</x:v>
      </x:c>
      <x:c r="D7" s="22" t="n">
        <x:v>8751946709</x:v>
      </x:c>
      <x:c r="E7" s="22" t="n">
        <x:v>7717131805</x:v>
      </x:c>
      <x:c r="F7" s="22" t="n">
        <x:v>8317353168</x:v>
      </x:c>
      <x:c r="G7" s="22" t="n">
        <x:v>8574590895</x:v>
      </x:c>
      <x:c r="H7" s="12" t="str">
        <x:v>Đã bán</x:v>
      </x:c>
      <x:c r="I7" s="14" t="str">
        <x:v>DA001</x:v>
      </x:c>
      <x:c r="J7" s="14" t="str">
        <x:v>LSP012</x:v>
      </x:c>
    </x:row>
    <x:row r="8" ht="15" hidden="0" customHeight="1">
      <x:c r="A8" s="14" t="str">
        <x:v>V1.12A06</x:v>
      </x:c>
      <x:c r="B8" s="18" t="n">
        <x:v>97</x:v>
      </x:c>
      <x:c r="C8" s="12" t="str">
        <x:v>Tây Bắc</x:v>
      </x:c>
      <x:c r="D8" s="22" t="n">
        <x:v>8820600083</x:v>
      </x:c>
      <x:c r="E8" s="22" t="n">
        <x:v>7777667725</x:v>
      </x:c>
      <x:c r="F8" s="22" t="n">
        <x:v>8382597436</x:v>
      </x:c>
      <x:c r="G8" s="22" t="n">
        <x:v>8641853028</x:v>
      </x:c>
      <x:c r="H8" s="12" t="str">
        <x:v>Đã bán</x:v>
      </x:c>
      <x:c r="I8" s="14" t="str">
        <x:v>DA001</x:v>
      </x:c>
      <x:c r="J8" s="14" t="str">
        <x:v>LSP012</x:v>
      </x:c>
    </x:row>
    <x:row r="9" ht="15" hidden="0" customHeight="1">
      <x:c r="A9" s="14" t="str">
        <x:v>V1.1401</x:v>
      </x:c>
      <x:c r="B9" s="18" t="n">
        <x:v>97.51</x:v>
      </x:c>
      <x:c r="C9" s="12" t="str">
        <x:v>Tây Bắc</x:v>
      </x:c>
      <x:c r="D9" s="22" t="n">
        <x:v>8893471384</x:v>
      </x:c>
      <x:c r="E9" s="22" t="n">
        <x:v>7841922850</x:v>
      </x:c>
      <x:c r="F9" s="22" t="n">
        <x:v>8451850182</x:v>
      </x:c>
      <x:c r="G9" s="22" t="n">
        <x:v>8713247611</x:v>
      </x:c>
      <x:c r="H9" s="12" t="str">
        <x:v>Đã bán</x:v>
      </x:c>
      <x:c r="I9" s="14" t="str">
        <x:v>DA001</x:v>
      </x:c>
      <x:c r="J9" s="14" t="str">
        <x:v>LSP012</x:v>
      </x:c>
    </x:row>
    <x:row r="10" ht="15" hidden="0" customHeight="1">
      <x:c r="A10" s="14" t="str">
        <x:v>V1.1406</x:v>
      </x:c>
      <x:c r="B10" s="18" t="n">
        <x:v>97.51</x:v>
      </x:c>
      <x:c r="C10" s="12" t="str">
        <x:v>Tây Bắc</x:v>
      </x:c>
      <x:c r="D10" s="22" t="n">
        <x:v>8893471384</x:v>
      </x:c>
      <x:c r="E10" s="22" t="n">
        <x:v>7841922850</x:v>
      </x:c>
      <x:c r="F10" s="22" t="n">
        <x:v>8451850182</x:v>
      </x:c>
      <x:c r="G10" s="22" t="n">
        <x:v>8713247611</x:v>
      </x:c>
      <x:c r="H10" s="12" t="str">
        <x:v>Đã bán</x:v>
      </x:c>
      <x:c r="I10" s="14" t="str">
        <x:v>DA001</x:v>
      </x:c>
      <x:c r="J10" s="14" t="str">
        <x:v>LSP012</x:v>
      </x:c>
    </x:row>
    <x:row r="11" ht="15" hidden="0" customHeight="1">
      <x:c r="A11" s="14" t="str">
        <x:v>V1.1420</x:v>
      </x:c>
      <x:c r="B11" s="18" t="n">
        <x:v>97.51</x:v>
      </x:c>
      <x:c r="C11" s="12" t="str">
        <x:v>Đông Bắc</x:v>
      </x:c>
      <x:c r="D11" s="22" t="n">
        <x:v>9074970800</x:v>
      </x:c>
      <x:c r="E11" s="22" t="n">
        <x:v>8001962092</x:v>
      </x:c>
      <x:c r="F11" s="22" t="n">
        <x:v>8624336921</x:v>
      </x:c>
      <x:c r="G11" s="22" t="n">
        <x:v>8891068991</x:v>
      </x:c>
      <x:c r="H11" s="12" t="str">
        <x:v>Đã bán</x:v>
      </x:c>
      <x:c r="I11" s="14" t="str">
        <x:v>DA001</x:v>
      </x:c>
      <x:c r="J11" s="14" t="str">
        <x:v>LSP012</x:v>
      </x:c>
    </x:row>
    <x:row r="12" ht="15" hidden="0" customHeight="1">
      <x:c r="A12" s="14" t="str">
        <x:v>V1.1701</x:v>
      </x:c>
      <x:c r="B12" s="18" t="n">
        <x:v>97.51</x:v>
      </x:c>
      <x:c r="C12" s="12" t="str">
        <x:v>Tây Bắc</x:v>
      </x:c>
      <x:c r="D12" s="22" t="n">
        <x:v>8955292933</x:v>
      </x:c>
      <x:c r="E12" s="22" t="n">
        <x:v>7896434727</x:v>
      </x:c>
      <x:c r="F12" s="22" t="n">
        <x:v>8510601872</x:v>
      </x:c>
      <x:c r="G12" s="22" t="n">
        <x:v>8773816363</x:v>
      </x:c>
      <x:c r="H12" s="12" t="str">
        <x:v>Đã bán</x:v>
      </x:c>
      <x:c r="I12" s="14" t="str">
        <x:v>DA001</x:v>
      </x:c>
      <x:c r="J12" s="14" t="str">
        <x:v>LSP012</x:v>
      </x:c>
    </x:row>
    <x:row r="13" ht="15" hidden="0" customHeight="1">
      <x:c r="A13" s="14" t="str">
        <x:v>V1.1706</x:v>
      </x:c>
      <x:c r="B13" s="18" t="n">
        <x:v>97.51</x:v>
      </x:c>
      <x:c r="C13" s="12" t="str">
        <x:v>Tây Bắc</x:v>
      </x:c>
      <x:c r="D13" s="22" t="n">
        <x:v>8955292933</x:v>
      </x:c>
      <x:c r="E13" s="22" t="n">
        <x:v>7896434727</x:v>
      </x:c>
      <x:c r="F13" s="22" t="n">
        <x:v>8510601872</x:v>
      </x:c>
      <x:c r="G13" s="22" t="n">
        <x:v>8773816363</x:v>
      </x:c>
      <x:c r="H13" s="12" t="str">
        <x:v>Đã bán</x:v>
      </x:c>
      <x:c r="I13" s="14" t="str">
        <x:v>DA001</x:v>
      </x:c>
      <x:c r="J13" s="14" t="str">
        <x:v>LSP012</x:v>
      </x:c>
    </x:row>
    <x:row r="14" ht="15" hidden="0" customHeight="1">
      <x:c r="A14" s="14" t="str">
        <x:v>V1.2406</x:v>
      </x:c>
      <x:c r="B14" s="18" t="n">
        <x:v>97.51</x:v>
      </x:c>
      <x:c r="C14" s="12" t="str">
        <x:v>Tây Bắc</x:v>
      </x:c>
      <x:c r="D14" s="22" t="n">
        <x:v>8955292933</x:v>
      </x:c>
      <x:c r="E14" s="22" t="n">
        <x:v>7896434727</x:v>
      </x:c>
      <x:c r="F14" s="22" t="n">
        <x:v>8510601872</x:v>
      </x:c>
      <x:c r="G14" s="22" t="n">
        <x:v>8773816363</x:v>
      </x:c>
      <x:c r="H14" s="12" t="str">
        <x:v>Đã bán</x:v>
      </x:c>
      <x:c r="I14" s="14" t="str">
        <x:v>DA001</x:v>
      </x:c>
      <x:c r="J14" s="14" t="str">
        <x:v>LSP012</x:v>
      </x:c>
    </x:row>
    <x:row r="15" ht="15" hidden="0" customHeight="1">
      <x:c r="A15" s="14" t="str">
        <x:v>V1.2301</x:v>
      </x:c>
      <x:c r="B15" s="18" t="n">
        <x:v>97.51</x:v>
      </x:c>
      <x:c r="C15" s="12" t="str">
        <x:v>Tây Bắc</x:v>
      </x:c>
      <x:c r="D15" s="22" t="n">
        <x:v>8972956232</x:v>
      </x:c>
      <x:c r="E15" s="22" t="n">
        <x:v>7912009549</x:v>
      </x:c>
      <x:c r="F15" s="22" t="n">
        <x:v>8527388069</x:v>
      </x:c>
      <x:c r="G15" s="22" t="n">
        <x:v>8791121721</x:v>
      </x:c>
      <x:c r="H15" s="12" t="str">
        <x:v>Đã bán</x:v>
      </x:c>
      <x:c r="I15" s="14" t="str">
        <x:v>DA001</x:v>
      </x:c>
      <x:c r="J15" s="14" t="str">
        <x:v>LSP012</x:v>
      </x:c>
    </x:row>
    <x:row r="16" ht="15" hidden="0" customHeight="1">
      <x:c r="A16" s="14" t="str">
        <x:v>V1.2512</x:v>
      </x:c>
      <x:c r="B16" s="18" t="n">
        <x:v>104.46</x:v>
      </x:c>
      <x:c r="C16" s="12" t="str">
        <x:v>Tây Nam</x:v>
      </x:c>
      <x:c r="D16" s="22" t="n">
        <x:v>9664299671</x:v>
      </x:c>
      <x:c r="E16" s="22" t="n">
        <x:v>8521609746</x:v>
      </x:c>
      <x:c r="F16" s="22" t="n">
        <x:v>9184401615</x:v>
      </x:c>
      <x:c r="G16" s="22" t="n">
        <x:v>9468455274</x:v>
      </x:c>
      <x:c r="H16" s="12" t="str">
        <x:v>Đã bán</x:v>
      </x:c>
      <x:c r="I16" s="14" t="str">
        <x:v>DA001</x:v>
      </x:c>
      <x:c r="J16" s="14" t="str">
        <x:v>LSP013</x:v>
      </x:c>
    </x:row>
    <x:row r="17" ht="15" hidden="0" customHeight="1">
      <x:c r="A17" s="14" t="str">
        <x:v>V2.0504</x:v>
      </x:c>
      <x:c r="B17" s="18" t="n">
        <x:v>69.03</x:v>
      </x:c>
      <x:c r="C17" s="12" t="str">
        <x:v>Đông Bắc</x:v>
      </x:c>
      <x:c r="D17" s="22" t="n">
        <x:v>6576759342</x:v>
      </x:c>
      <x:c r="E17" s="22" t="n">
        <x:v>5799134796</x:v>
      </x:c>
      <x:c r="F17" s="22" t="n">
        <x:v>6250178614</x:v>
      </x:c>
      <x:c r="G17" s="22" t="n">
        <x:v>6443483107</x:v>
      </x:c>
      <x:c r="H17" s="12" t="str">
        <x:v>Đã bán</x:v>
      </x:c>
      <x:c r="I17" s="14" t="str">
        <x:v>DA001</x:v>
      </x:c>
      <x:c r="J17" s="14" t="str">
        <x:v>LSP011</x:v>
      </x:c>
    </x:row>
    <x:row r="18" ht="15" hidden="0" customHeight="1">
      <x:c r="A18" s="14" t="str">
        <x:v>V2.0505</x:v>
      </x:c>
      <x:c r="B18" s="18" t="n">
        <x:v>68.97</x:v>
      </x:c>
      <x:c r="C18" s="12" t="str">
        <x:v>Đông Bắc</x:v>
      </x:c>
      <x:c r="D18" s="22" t="n">
        <x:v>6637417077</x:v>
      </x:c>
      <x:c r="E18" s="22" t="n">
        <x:v>5852620467</x:v>
      </x:c>
      <x:c r="F18" s="22" t="n">
        <x:v>6307824280</x:v>
      </x:c>
      <x:c r="G18" s="22" t="n">
        <x:v>6502911630</x:v>
      </x:c>
      <x:c r="H18" s="12" t="str">
        <x:v>Đã bán</x:v>
      </x:c>
      <x:c r="I18" s="14" t="str">
        <x:v>DA001</x:v>
      </x:c>
      <x:c r="J18" s="14" t="str">
        <x:v>LSP011</x:v>
      </x:c>
    </x:row>
    <x:row r="19" ht="15" hidden="0" customHeight="1">
      <x:c r="A19" s="14" t="str">
        <x:v>V2.0601</x:v>
      </x:c>
      <x:c r="B19" s="18" t="n">
        <x:v>96.63</x:v>
      </x:c>
      <x:c r="C19" s="12" t="str">
        <x:v>Đông Bắc</x:v>
      </x:c>
      <x:c r="D19" s="22" t="n">
        <x:v>9138116698</x:v>
      </x:c>
      <x:c r="E19" s="22" t="n">
        <x:v>8057641729</x:v>
      </x:c>
      <x:c r="F19" s="22" t="n">
        <x:v>8684347196</x:v>
      </x:c>
      <x:c r="G19" s="22" t="n">
        <x:v>8952935255</x:v>
      </x:c>
      <x:c r="H19" s="12" t="str">
        <x:v>Đã bán</x:v>
      </x:c>
      <x:c r="I19" s="14" t="str">
        <x:v>DA001</x:v>
      </x:c>
      <x:c r="J19" s="14" t="str">
        <x:v>LSP012</x:v>
      </x:c>
    </x:row>
    <x:row r="20" ht="15" hidden="0" customHeight="1">
      <x:c r="A20" s="14" t="str">
        <x:v>V2.0610</x:v>
      </x:c>
      <x:c r="B20" s="18" t="n">
        <x:v>64.44</x:v>
      </x:c>
      <x:c r="C20" s="12" t="str">
        <x:v>Tây Nam</x:v>
      </x:c>
      <x:c r="D20" s="22" t="n">
        <x:v>6033101917</x:v>
      </x:c>
      <x:c r="E20" s="22" t="n">
        <x:v>5319758476</x:v>
      </x:c>
      <x:c r="F20" s="22" t="n">
        <x:v>5733517468</x:v>
      </x:c>
      <x:c r="G20" s="22" t="n">
        <x:v>5910842751</x:v>
      </x:c>
      <x:c r="H20" s="12" t="str">
        <x:v>Đã bán</x:v>
      </x:c>
      <x:c r="I20" s="14" t="str">
        <x:v>DA001</x:v>
      </x:c>
      <x:c r="J20" s="14" t="str">
        <x:v>LSP011</x:v>
      </x:c>
    </x:row>
    <x:row r="21" ht="15" hidden="0" customHeight="1">
      <x:c r="A21" s="14" t="str">
        <x:v>V2.0707</x:v>
      </x:c>
      <x:c r="B21" s="18" t="n">
        <x:v>103.36</x:v>
      </x:c>
      <x:c r="C21" s="12" t="str">
        <x:v>Tây Nam</x:v>
      </x:c>
      <x:c r="D21" s="22" t="n">
        <x:v>9223542696</x:v>
      </x:c>
      <x:c r="E21" s="22" t="n">
        <x:v>8132967106</x:v>
      </x:c>
      <x:c r="F21" s="22" t="n">
        <x:v>8765531214</x:v>
      </x:c>
      <x:c r="G21" s="22" t="n">
        <x:v>9036630118</x:v>
      </x:c>
      <x:c r="H21" s="12" t="str">
        <x:v>Còn hàng</x:v>
      </x:c>
      <x:c r="I21" s="14" t="str">
        <x:v>DA001</x:v>
      </x:c>
      <x:c r="J21" s="14" t="str">
        <x:v>LSP013</x:v>
      </x:c>
    </x:row>
    <x:row r="22" ht="15" hidden="0" customHeight="1">
      <x:c r="A22" s="14" t="str">
        <x:v>V2.0708</x:v>
      </x:c>
      <x:c r="B22" s="18" t="n">
        <x:v>71.2</x:v>
      </x:c>
      <x:c r="C22" s="12" t="str">
        <x:v>Tây Nam</x:v>
      </x:c>
      <x:c r="D22" s="22" t="n">
        <x:v>6556944058</x:v>
      </x:c>
      <x:c r="E22" s="22" t="n">
        <x:v>5781662437</x:v>
      </x:c>
      <x:c r="F22" s="22" t="n">
        <x:v>6231347292</x:v>
      </x:c>
      <x:c r="G22" s="22" t="n">
        <x:v>6424069374</x:v>
      </x:c>
      <x:c r="H22" s="12" t="str">
        <x:v>Đã bán</x:v>
      </x:c>
      <x:c r="I22" s="14" t="str">
        <x:v>DA001</x:v>
      </x:c>
      <x:c r="J22" s="14" t="str">
        <x:v>LSP011</x:v>
      </x:c>
    </x:row>
    <x:row r="23" ht="15" hidden="0" customHeight="1">
      <x:c r="A23" s="14" t="str">
        <x:v>V2.0712</x:v>
      </x:c>
      <x:c r="B23" s="18" t="n">
        <x:v>64.16</x:v>
      </x:c>
      <x:c r="C23" s="12" t="str">
        <x:v>Tây Bắc</x:v>
      </x:c>
      <x:c r="D23" s="22" t="n">
        <x:v>6210077056</x:v>
      </x:c>
      <x:c r="E23" s="22" t="n">
        <x:v>5475808384</x:v>
      </x:c>
      <x:c r="F23" s="22" t="n">
        <x:v>5901704591</x:v>
      </x:c>
      <x:c r="G23" s="22" t="n">
        <x:v>6084231538</x:v>
      </x:c>
      <x:c r="H23" s="12" t="str">
        <x:v>Đã khớp</x:v>
      </x:c>
      <x:c r="I23" s="14" t="str">
        <x:v>DA001</x:v>
      </x:c>
      <x:c r="J23" s="14" t="str">
        <x:v>LSP011</x:v>
      </x:c>
    </x:row>
    <x:row r="24" ht="15" hidden="0" customHeight="1">
      <x:c r="A24" s="14" t="str">
        <x:v>V2.0902</x:v>
      </x:c>
      <x:c r="B24" s="18" t="n">
        <x:v>68.97</x:v>
      </x:c>
      <x:c r="C24" s="12" t="str">
        <x:v>Đông Bắc</x:v>
      </x:c>
      <x:c r="D24" s="22" t="n">
        <x:v>6711091737</x:v>
      </x:c>
      <x:c r="E24" s="22" t="n">
        <x:v>5917583963</x:v>
      </x:c>
      <x:c r="F24" s="22" t="n">
        <x:v>6377840493</x:v>
      </x:c>
      <x:c r="G24" s="22" t="n">
        <x:v>6575093293</x:v>
      </x:c>
      <x:c r="H24" s="12" t="str">
        <x:v>Đã khớp</x:v>
      </x:c>
      <x:c r="I24" s="14" t="str">
        <x:v>DA001</x:v>
      </x:c>
      <x:c r="J24" s="14" t="str">
        <x:v>LSP011</x:v>
      </x:c>
    </x:row>
    <x:row r="25" ht="15" hidden="0" customHeight="1">
      <x:c r="A25" s="14" t="str">
        <x:v>V2.0904</x:v>
      </x:c>
      <x:c r="B25" s="18" t="n">
        <x:v>69.03</x:v>
      </x:c>
      <x:c r="C25" s="12" t="str">
        <x:v>Đông Bắc</x:v>
      </x:c>
      <x:c r="D25" s="22" t="n">
        <x:v>6649760707</x:v>
      </x:c>
      <x:c r="E25" s="22" t="n">
        <x:v>5863504607</x:v>
      </x:c>
      <x:c r="F25" s="22" t="n">
        <x:v>6319554966</x:v>
      </x:c>
      <x:c r="G25" s="22" t="n">
        <x:v>6515005120</x:v>
      </x:c>
      <x:c r="H25" s="12" t="str">
        <x:v>Còn hàng</x:v>
      </x:c>
      <x:c r="I25" s="14" t="str">
        <x:v>DA001</x:v>
      </x:c>
      <x:c r="J25" s="14" t="str">
        <x:v>LSP011</x:v>
      </x:c>
    </x:row>
    <x:row r="26" ht="15" hidden="0" customHeight="1">
      <x:c r="A26" s="14" t="str">
        <x:v>V2.0913</x:v>
      </x:c>
      <x:c r="B26" s="18" t="n">
        <x:v>71.11</x:v>
      </x:c>
      <x:c r="C26" s="12" t="str">
        <x:v>Tây Bắc</x:v>
      </x:c>
      <x:c r="D26" s="22" t="n">
        <x:v>6781628843</x:v>
      </x:c>
      <x:c r="E26" s="22" t="n">
        <x:v>5979780885</x:v>
      </x:c>
      <x:c r="F26" s="22" t="n">
        <x:v>6444874954</x:v>
      </x:c>
      <x:c r="G26" s="22" t="n">
        <x:v>6644200984</x:v>
      </x:c>
      <x:c r="H26" s="12" t="str">
        <x:v>Đã khớp</x:v>
      </x:c>
      <x:c r="I26" s="14" t="str">
        <x:v>DA001</x:v>
      </x:c>
      <x:c r="J26" s="14" t="str">
        <x:v>LSP011</x:v>
      </x:c>
    </x:row>
    <x:row r="27" ht="15" hidden="0" customHeight="1">
      <x:c r="A27" s="14" t="str">
        <x:v>V2.0914</x:v>
      </x:c>
      <x:c r="B27" s="18" t="n">
        <x:v>103.87</x:v>
      </x:c>
      <x:c r="C27" s="12" t="str">
        <x:v>Tây Bắc</x:v>
      </x:c>
      <x:c r="D27" s="22" t="n">
        <x:v>9695764373</x:v>
      </x:c>
      <x:c r="E27" s="22" t="n">
        <x:v>8549354116</x:v>
      </x:c>
      <x:c r="F27" s="22" t="n">
        <x:v>9214303880</x:v>
      </x:c>
      <x:c r="G27" s="22" t="n">
        <x:v>9499282352</x:v>
      </x:c>
      <x:c r="H27" s="12" t="str">
        <x:v>Còn hàng</x:v>
      </x:c>
      <x:c r="I27" s="14" t="str">
        <x:v>DA001</x:v>
      </x:c>
      <x:c r="J27" s="14" t="str">
        <x:v>LSP013</x:v>
      </x:c>
    </x:row>
    <x:row r="28" ht="15" hidden="0" customHeight="1">
      <x:c r="A28" s="14" t="str">
        <x:v>V2.1015</x:v>
      </x:c>
      <x:c r="B28" s="18" t="n">
        <x:v>104.14</x:v>
      </x:c>
      <x:c r="C28" s="12" t="str">
        <x:v>Đông Nam</x:v>
      </x:c>
      <x:c r="D28" s="22" t="n">
        <x:v>9547453873</x:v>
      </x:c>
      <x:c r="E28" s="22" t="n">
        <x:v>8418579591</x:v>
      </x:c>
      <x:c r="F28" s="22" t="n">
        <x:v>9073358003</x:v>
      </x:c>
      <x:c r="G28" s="22" t="n">
        <x:v>9353977323</x:v>
      </x:c>
      <x:c r="H28" s="12" t="str">
        <x:v>Đã khớp</x:v>
      </x:c>
      <x:c r="I28" s="14" t="str">
        <x:v>DA001</x:v>
      </x:c>
      <x:c r="J28" s="14" t="str">
        <x:v>LSP013</x:v>
      </x:c>
    </x:row>
    <x:row r="29" ht="15" hidden="0" customHeight="1">
      <x:c r="A29" s="14" t="str">
        <x:v>V2.1106</x:v>
      </x:c>
      <x:c r="B29" s="18" t="n">
        <x:v>97</x:v>
      </x:c>
      <x:c r="C29" s="12" t="str">
        <x:v>Đông Bắc</x:v>
      </x:c>
      <x:c r="D29" s="22" t="n">
        <x:v>9380427850</x:v>
      </x:c>
      <x:c r="E29" s="22" t="n">
        <x:v>8271302434</x:v>
      </x:c>
      <x:c r="F29" s="22" t="n">
        <x:v>8914625956</x:v>
      </x:c>
      <x:c r="G29" s="22" t="n">
        <x:v>9190336038</x:v>
      </x:c>
      <x:c r="H29" s="12" t="str">
        <x:v>Còn hàng</x:v>
      </x:c>
      <x:c r="I29" s="14" t="str">
        <x:v>DA001</x:v>
      </x:c>
      <x:c r="J29" s="14" t="str">
        <x:v>LSP012</x:v>
      </x:c>
    </x:row>
    <x:row r="30" ht="15" hidden="0" customHeight="1">
      <x:c r="A30" s="14" t="str">
        <x:v>V2.1108</x:v>
      </x:c>
      <x:c r="B30" s="18" t="n">
        <x:v>71.73</x:v>
      </x:c>
      <x:c r="C30" s="12" t="str">
        <x:v>Tây Nam</x:v>
      </x:c>
      <x:c r="D30" s="22" t="n">
        <x:v>6668696252</x:v>
      </x:c>
      <x:c r="E30" s="22" t="n">
        <x:v>5880201247</x:v>
      </x:c>
      <x:c r="F30" s="22" t="n">
        <x:v>6337550232</x:v>
      </x:c>
      <x:c r="G30" s="22" t="n">
        <x:v>6533556941</x:v>
      </x:c>
      <x:c r="H30" s="12" t="str">
        <x:v>Đã khớp</x:v>
      </x:c>
      <x:c r="I30" s="14" t="str">
        <x:v>DA001</x:v>
      </x:c>
      <x:c r="J30" s="14" t="str">
        <x:v>LSP011</x:v>
      </x:c>
    </x:row>
    <x:row r="31" ht="15" hidden="0" customHeight="1">
      <x:c r="A31" s="14" t="str">
        <x:v>V2.12A05</x:v>
      </x:c>
      <x:c r="B31" s="18" t="n">
        <x:v>69.32</x:v>
      </x:c>
      <x:c r="C31" s="12" t="str">
        <x:v>Đông Bắc</x:v>
      </x:c>
      <x:c r="D31" s="22" t="n">
        <x:v>6758611684</x:v>
      </x:c>
      <x:c r="E31" s="22" t="n">
        <x:v>5959485234</x:v>
      </x:c>
      <x:c r="F31" s="22" t="n">
        <x:v>6423000752</x:v>
      </x:c>
      <x:c r="G31" s="22" t="n">
        <x:v>6621650261</x:v>
      </x:c>
      <x:c r="H31" s="12" t="str">
        <x:v>Đã khớp</x:v>
      </x:c>
      <x:c r="I31" s="14" t="str">
        <x:v>DA001</x:v>
      </x:c>
      <x:c r="J31" s="14" t="str">
        <x:v>LSP011</x:v>
      </x:c>
    </x:row>
    <x:row r="32" ht="15" hidden="0" customHeight="1">
      <x:c r="A32" s="14" t="str">
        <x:v>V2.12A06</x:v>
      </x:c>
      <x:c r="B32" s="18" t="n">
        <x:v>97</x:v>
      </x:c>
      <x:c r="C32" s="12" t="str">
        <x:v>Đông Bắc</x:v>
      </x:c>
      <x:c r="D32" s="22" t="n">
        <x:v>9357128228</x:v>
      </x:c>
      <x:c r="E32" s="22" t="n">
        <x:v>8250757718</x:v>
      </x:c>
      <x:c r="F32" s="22" t="n">
        <x:v>8892483318</x:v>
      </x:c>
      <x:c r="G32" s="22" t="n">
        <x:v>9167508576</x:v>
      </x:c>
      <x:c r="H32" s="12" t="str">
        <x:v>Còn hàng</x:v>
      </x:c>
      <x:c r="I32" s="14" t="str">
        <x:v>DA001</x:v>
      </x:c>
      <x:c r="J32" s="14" t="str">
        <x:v>LSP012</x:v>
      </x:c>
    </x:row>
    <x:row r="33" ht="15" hidden="0" customHeight="1">
      <x:c r="A33" s="14" t="str">
        <x:v>V2.12A16</x:v>
      </x:c>
      <x:c r="B33" s="18" t="n">
        <x:v>70.75</x:v>
      </x:c>
      <x:c r="C33" s="12" t="str">
        <x:v>Đông Nam</x:v>
      </x:c>
      <x:c r="D33" s="22" t="n">
        <x:v>6760736917</x:v>
      </x:c>
      <x:c r="E33" s="22" t="n">
        <x:v>5961359184</x:v>
      </x:c>
      <x:c r="F33" s="22" t="n">
        <x:v>6425020453</x:v>
      </x:c>
      <x:c r="G33" s="22" t="n">
        <x:v>6623732427</x:v>
      </x:c>
      <x:c r="H33" s="12" t="str">
        <x:v>Đã khớp</x:v>
      </x:c>
      <x:c r="I33" s="14" t="str">
        <x:v>DA001</x:v>
      </x:c>
      <x:c r="J33" s="14" t="str">
        <x:v>LSP011</x:v>
      </x:c>
    </x:row>
    <x:row r="34" ht="15" hidden="0" customHeight="1">
      <x:c r="A34" s="14" t="str">
        <x:v>V2.1409</x:v>
      </x:c>
      <x:c r="B34" s="18" t="n">
        <x:v>65.51</x:v>
      </x:c>
      <x:c r="C34" s="12" t="str">
        <x:v>Tây Nam</x:v>
      </x:c>
      <x:c r="D34" s="22" t="n">
        <x:v>6213493033</x:v>
      </x:c>
      <x:c r="E34" s="22" t="n">
        <x:v>5478820462</x:v>
      </x:c>
      <x:c r="F34" s="22" t="n">
        <x:v>5904950942</x:v>
      </x:c>
      <x:c r="G34" s="22" t="n">
        <x:v>6087578291</x:v>
      </x:c>
      <x:c r="H34" s="12" t="str">
        <x:v>Đã khớp</x:v>
      </x:c>
      <x:c r="I34" s="14" t="str">
        <x:v>DA001</x:v>
      </x:c>
      <x:c r="J34" s="14" t="str">
        <x:v>LSP011</x:v>
      </x:c>
    </x:row>
    <x:row r="35" ht="15" hidden="0" customHeight="1">
      <x:c r="A35" s="14" t="str">
        <x:v>V2.1412</x:v>
      </x:c>
      <x:c r="B35" s="18" t="n">
        <x:v>64.45</x:v>
      </x:c>
      <x:c r="C35" s="12" t="str">
        <x:v>Tây Bắc</x:v>
      </x:c>
      <x:c r="D35" s="22" t="n">
        <x:v>6426729774</x:v>
      </x:c>
      <x:c r="E35" s="22" t="n">
        <x:v>5666844463</x:v>
      </x:c>
      <x:c r="F35" s="22" t="n">
        <x:v>6107599032</x:v>
      </x:c>
      <x:c r="G35" s="22" t="n">
        <x:v>6296493848</x:v>
      </x:c>
      <x:c r="H35" s="12" t="str">
        <x:v>Còn hàng</x:v>
      </x:c>
      <x:c r="I35" s="14" t="str">
        <x:v>DA001</x:v>
      </x:c>
      <x:c r="J35" s="14" t="str">
        <x:v>LSP011</x:v>
      </x:c>
    </x:row>
    <x:row r="36" ht="15" hidden="0" customHeight="1">
      <x:c r="A36" s="14" t="str">
        <x:v>V2.1418</x:v>
      </x:c>
      <x:c r="B36" s="18" t="n">
        <x:v>69.55</x:v>
      </x:c>
      <x:c r="C36" s="12" t="str">
        <x:v>Đông Nam</x:v>
      </x:c>
      <x:c r="D36" s="22" t="n">
        <x:v>6599266681</x:v>
      </x:c>
      <x:c r="E36" s="22" t="n">
        <x:v>5818980907</x:v>
      </x:c>
      <x:c r="F36" s="22" t="n">
        <x:v>6271568311</x:v>
      </x:c>
      <x:c r="G36" s="22" t="n">
        <x:v>6465534341</x:v>
      </x:c>
      <x:c r="H36" s="12" t="str">
        <x:v>Đã khớp</x:v>
      </x:c>
      <x:c r="I36" s="14" t="str">
        <x:v>DA001</x:v>
      </x:c>
      <x:c r="J36" s="14" t="str">
        <x:v>LSP011</x:v>
      </x:c>
    </x:row>
    <x:row r="37" ht="15" hidden="0" customHeight="1">
      <x:c r="A37" s="14" t="str">
        <x:v>V2.1707</x:v>
      </x:c>
      <x:c r="B37" s="18" t="n">
        <x:v>104.63</x:v>
      </x:c>
      <x:c r="C37" s="12" t="str">
        <x:v>Tây Nam</x:v>
      </x:c>
      <x:c r="D37" s="22" t="n">
        <x:v>9496078231</x:v>
      </x:c>
      <x:c r="E37" s="22" t="n">
        <x:v>8373278515</x:v>
      </x:c>
      <x:c r="F37" s="22" t="n">
        <x:v>9024533511</x:v>
      </x:c>
      <x:c r="G37" s="22" t="n">
        <x:v>9303642795</x:v>
      </x:c>
      <x:c r="H37" s="12" t="str">
        <x:v>Còn hàng</x:v>
      </x:c>
      <x:c r="I37" s="14" t="str">
        <x:v>DA001</x:v>
      </x:c>
      <x:c r="J37" s="14" t="str">
        <x:v>LSP013</x:v>
      </x:c>
    </x:row>
    <x:row r="38" ht="15" hidden="0" customHeight="1">
      <x:c r="A38" s="14" t="str">
        <x:v>V2.1709</x:v>
      </x:c>
      <x:c r="B38" s="18" t="n">
        <x:v>65.51</x:v>
      </x:c>
      <x:c r="C38" s="12" t="str">
        <x:v>Tây Nam</x:v>
      </x:c>
      <x:c r="D38" s="22" t="n">
        <x:v>6256685140</x:v>
      </x:c>
      <x:c r="E38" s="22" t="n">
        <x:v>5516905609</x:v>
      </x:c>
      <x:c r="F38" s="22" t="n">
        <x:v>5945998267</x:v>
      </x:c>
      <x:c r="G38" s="22" t="n">
        <x:v>6129895121</x:v>
      </x:c>
      <x:c r="H38" s="12" t="str">
        <x:v>Đã khớp</x:v>
      </x:c>
      <x:c r="I38" s="14" t="str">
        <x:v>DA001</x:v>
      </x:c>
      <x:c r="J38" s="14" t="str">
        <x:v>LSP011</x:v>
      </x:c>
    </x:row>
    <x:row r="39" ht="15" hidden="0" customHeight="1">
      <x:c r="A39" s="14" t="str">
        <x:v>V2.1911</x:v>
      </x:c>
      <x:c r="B39" s="18" t="n">
        <x:v>64.45</x:v>
      </x:c>
      <x:c r="C39" s="12" t="str">
        <x:v>Tây Bắc</x:v>
      </x:c>
      <x:c r="D39" s="22" t="n">
        <x:v>6438281295</x:v>
      </x:c>
      <x:c r="E39" s="22" t="n">
        <x:v>5677030151</x:v>
      </x:c>
      <x:c r="F39" s="22" t="n">
        <x:v>6118576941</x:v>
      </x:c>
      <x:c r="G39" s="22" t="n">
        <x:v>6307811280</x:v>
      </x:c>
      <x:c r="H39" s="12" t="str">
        <x:v>Còn hàng</x:v>
      </x:c>
      <x:c r="I39" s="14" t="str">
        <x:v>DA001</x:v>
      </x:c>
      <x:c r="J39" s="14" t="str">
        <x:v>LSP011</x:v>
      </x:c>
    </x:row>
    <x:row r="40" ht="15" hidden="0" customHeight="1">
      <x:c r="A40" s="14" t="str">
        <x:v>V2.1912</x:v>
      </x:c>
      <x:c r="B40" s="18" t="n">
        <x:v>64.45</x:v>
      </x:c>
      <x:c r="C40" s="12" t="str">
        <x:v>Tây Bắc</x:v>
      </x:c>
      <x:c r="D40" s="22" t="n">
        <x:v>6503314439</x:v>
      </x:c>
      <x:c r="E40" s="22" t="n">
        <x:v>5734373890</x:v>
      </x:c>
      <x:c r="F40" s="22" t="n">
        <x:v>6180380748</x:v>
      </x:c>
      <x:c r="G40" s="22" t="n">
        <x:v>6371526545</x:v>
      </x:c>
      <x:c r="H40" s="12" t="str">
        <x:v>Còn hàng</x:v>
      </x:c>
      <x:c r="I40" s="14" t="str">
        <x:v>DA001</x:v>
      </x:c>
      <x:c r="J40" s="14" t="str">
        <x:v>LSP011</x:v>
      </x:c>
    </x:row>
    <x:row r="41" ht="15" hidden="0" customHeight="1">
      <x:c r="A41" s="14" t="str">
        <x:v>V2.2101</x:v>
      </x:c>
      <x:c r="B41" s="18" t="n">
        <x:v>97.51</x:v>
      </x:c>
      <x:c r="C41" s="12" t="str">
        <x:v>Đông Bắc</x:v>
      </x:c>
      <x:c r="D41" s="22" t="n">
        <x:v>9647058104</x:v>
      </x:c>
      <x:c r="E41" s="22" t="n">
        <x:v>8506406791</x:v>
      </x:c>
      <x:c r="F41" s="22" t="n">
        <x:v>9168016208</x:v>
      </x:c>
      <x:c r="G41" s="22" t="n">
        <x:v>9451563102</x:v>
      </x:c>
      <x:c r="H41" s="12" t="str">
        <x:v>Đã khớp</x:v>
      </x:c>
      <x:c r="I41" s="14" t="str">
        <x:v>DA001</x:v>
      </x:c>
      <x:c r="J41" s="14" t="str">
        <x:v>LSP012</x:v>
      </x:c>
    </x:row>
    <x:row r="42" ht="15" hidden="0" customHeight="1">
      <x:c r="A42" s="14" t="str">
        <x:v>V2.2102</x:v>
      </x:c>
      <x:c r="B42" s="18" t="n">
        <x:v>69.52</x:v>
      </x:c>
      <x:c r="C42" s="12" t="str">
        <x:v>Đông Bắc</x:v>
      </x:c>
      <x:c r="D42" s="22" t="n">
        <x:v>6882753587</x:v>
      </x:c>
      <x:c r="E42" s="22" t="n">
        <x:v>6068948816</x:v>
      </x:c>
      <x:c r="F42" s="22" t="n">
        <x:v>6540978168</x:v>
      </x:c>
      <x:c r="G42" s="22" t="n">
        <x:v>6743276463</x:v>
      </x:c>
      <x:c r="H42" s="12" t="str">
        <x:v>Đã khớp</x:v>
      </x:c>
      <x:c r="I42" s="14" t="str">
        <x:v>DA001</x:v>
      </x:c>
      <x:c r="J42" s="14" t="str">
        <x:v>LSP011</x:v>
      </x:c>
    </x:row>
    <x:row r="43" ht="15" hidden="0" customHeight="1">
      <x:c r="A43" s="14" t="str">
        <x:v>V2.2319</x:v>
      </x:c>
      <x:c r="B43" s="18" t="n">
        <x:v>69.55</x:v>
      </x:c>
      <x:c r="C43" s="12" t="str">
        <x:v>Đông Nam</x:v>
      </x:c>
      <x:c r="D43" s="22" t="n">
        <x:v>6725502240</x:v>
      </x:c>
      <x:c r="E43" s="22" t="n">
        <x:v>5930290594</x:v>
      </x:c>
      <x:c r="F43" s="22" t="n">
        <x:v>6391535417</x:v>
      </x:c>
      <x:c r="G43" s="22" t="n">
        <x:v>6589211771</x:v>
      </x:c>
      <x:c r="H43" s="12" t="str">
        <x:v>Còn hàng</x:v>
      </x:c>
      <x:c r="I43" s="14" t="str">
        <x:v>DA001</x:v>
      </x:c>
      <x:c r="J43" s="14" t="str">
        <x:v>LSP011</x:v>
      </x:c>
    </x:row>
    <x:row r="44" ht="15" hidden="0" customHeight="1">
      <x:c r="A44" s="14" t="str">
        <x:v>V2.2320</x:v>
      </x:c>
      <x:c r="B44" s="18" t="n">
        <x:v>97.51</x:v>
      </x:c>
      <x:c r="C44" s="12" t="str">
        <x:v>Đông Nam</x:v>
      </x:c>
      <x:c r="D44" s="22" t="n">
        <x:v>9144552774</x:v>
      </x:c>
      <x:c r="E44" s="22" t="n">
        <x:v>8063316815</x:v>
      </x:c>
      <x:c r="F44" s="22" t="n">
        <x:v>8690463678</x:v>
      </x:c>
      <x:c r="G44" s="22" t="n">
        <x:v>8959240906</x:v>
      </x:c>
      <x:c r="H44" s="12" t="str">
        <x:v>Còn hàng</x:v>
      </x:c>
      <x:c r="I44" s="14" t="str">
        <x:v>DA001</x:v>
      </x:c>
      <x:c r="J44" s="14" t="str">
        <x:v>LSP012</x:v>
      </x:c>
    </x:row>
    <x:row r="45" ht="15" hidden="0" customHeight="1">
      <x:c r="A45" s="14" t="str">
        <x:v>V2.2413</x:v>
      </x:c>
      <x:c r="B45" s="18" t="n">
        <x:v>71.47</x:v>
      </x:c>
      <x:c r="C45" s="12" t="str">
        <x:v>Tây Bắc</x:v>
      </x:c>
      <x:c r="D45" s="22" t="n">
        <x:v>6897589656</x:v>
      </x:c>
      <x:c r="E45" s="22" t="n">
        <x:v>6082030694</x:v>
      </x:c>
      <x:c r="F45" s="22" t="n">
        <x:v>6555077525</x:v>
      </x:c>
      <x:c r="G45" s="22" t="n">
        <x:v>6757811882</x:v>
      </x:c>
      <x:c r="H45" s="12" t="str">
        <x:v>Còn hàng</x:v>
      </x:c>
      <x:c r="I45" s="14" t="str">
        <x:v>DA001</x:v>
      </x:c>
      <x:c r="J45" s="14" t="str">
        <x:v>LSP011</x:v>
      </x:c>
    </x:row>
    <x:row r="46" ht="15" hidden="0" customHeight="1">
      <x:c r="A46" s="14" t="str">
        <x:v>V2.2510</x:v>
      </x:c>
      <x:c r="B46" s="18" t="n">
        <x:v>64.41</x:v>
      </x:c>
      <x:c r="C46" s="12" t="str">
        <x:v>Tây Bắc</x:v>
      </x:c>
      <x:c r="D46" s="22" t="n">
        <x:v>6328070182</x:v>
      </x:c>
      <x:c r="E46" s="22" t="n">
        <x:v>5579850209</x:v>
      </x:c>
      <x:c r="F46" s="22" t="n">
        <x:v>6013838558</x:v>
      </x:c>
      <x:c r="G46" s="22" t="n">
        <x:v>6199833565</x:v>
      </x:c>
      <x:c r="H46" s="12" t="str">
        <x:v>Còn hàng</x:v>
      </x:c>
      <x:c r="I46" s="14" t="str">
        <x:v>DA001</x:v>
      </x:c>
      <x:c r="J46" s="14" t="str">
        <x:v>LSP011</x:v>
      </x:c>
    </x:row>
    <x:row r="47" ht="15" hidden="0" customHeight="1">
      <x:c r="A47" s="14" t="str">
        <x:v>TT4-3</x:v>
      </x:c>
      <x:c r="B47" s="18" t="n">
        <x:v>112.88</x:v>
      </x:c>
      <x:c r="C47" s="12" t="str">
        <x:v>Tây Bắc</x:v>
      </x:c>
      <x:c r="D47" s="22" t="n">
        <x:v>32188744137</x:v>
      </x:c>
      <x:c r="E47" s="22" t="n">
        <x:v>29727979025</x:v>
      </x:c>
      <x:c r="F47" s="22" t="n">
        <x:v>30353831215</x:v>
      </x:c>
      <x:c r="G47" s="22" t="n">
        <x:v>31292609501</x:v>
      </x:c>
      <x:c r="H47" s="12" t="str">
        <x:v>Đã bán</x:v>
      </x:c>
      <x:c r="I47" s="14" t="str">
        <x:v>DA002</x:v>
      </x:c>
      <x:c r="J47" s="14" t="str">
        <x:v>LSP014</x:v>
      </x:c>
    </x:row>
    <x:row r="48" ht="15" hidden="0" customHeight="1">
      <x:c r="A48" s="14" t="str">
        <x:v>TT4-4</x:v>
      </x:c>
      <x:c r="B48" s="18" t="n">
        <x:v>80.62</x:v>
      </x:c>
      <x:c r="C48" s="12" t="str">
        <x:v>Tây Bắc</x:v>
      </x:c>
      <x:c r="D48" s="22" t="n">
        <x:v>22420077548</x:v>
      </x:c>
      <x:c r="E48" s="22" t="n">
        <x:v>20706107460</x:v>
      </x:c>
      <x:c r="F48" s="22" t="n">
        <x:v>21142025512</x:v>
      </x:c>
      <x:c r="G48" s="22" t="n">
        <x:v>21795902589</x:v>
      </x:c>
      <x:c r="H48" s="12" t="str">
        <x:v>Đã bán</x:v>
      </x:c>
      <x:c r="I48" s="14" t="str">
        <x:v>DA002</x:v>
      </x:c>
      <x:c r="J48" s="14" t="str">
        <x:v>LSP014</x:v>
      </x:c>
    </x:row>
    <x:row r="49" ht="15" hidden="0" customHeight="1">
      <x:c r="A49" s="14" t="str">
        <x:v>TT4-5</x:v>
      </x:c>
      <x:c r="B49" s="18" t="n">
        <x:v>80.62</x:v>
      </x:c>
      <x:c r="C49" s="12" t="str">
        <x:v>Tây Bắc</x:v>
      </x:c>
      <x:c r="D49" s="22" t="n">
        <x:v>22420077548</x:v>
      </x:c>
      <x:c r="E49" s="22" t="n">
        <x:v>20706107460</x:v>
      </x:c>
      <x:c r="F49" s="22" t="n">
        <x:v>21142025512</x:v>
      </x:c>
      <x:c r="G49" s="22" t="n">
        <x:v>21795902589</x:v>
      </x:c>
      <x:c r="H49" s="12" t="str">
        <x:v>Đã bán</x:v>
      </x:c>
      <x:c r="I49" s="14" t="str">
        <x:v>DA002</x:v>
      </x:c>
      <x:c r="J49" s="14" t="str">
        <x:v>LSP014</x:v>
      </x:c>
    </x:row>
    <x:row r="50" ht="15" hidden="0" customHeight="1">
      <x:c r="A50" s="14" t="str">
        <x:v>TT4-6</x:v>
      </x:c>
      <x:c r="B50" s="18" t="n">
        <x:v>80.62</x:v>
      </x:c>
      <x:c r="C50" s="12" t="str">
        <x:v>Tây Bắc</x:v>
      </x:c>
      <x:c r="D50" s="22" t="n">
        <x:v>22420077548</x:v>
      </x:c>
      <x:c r="E50" s="22" t="n">
        <x:v>20706107460</x:v>
      </x:c>
      <x:c r="F50" s="22" t="n">
        <x:v>21142025512</x:v>
      </x:c>
      <x:c r="G50" s="22" t="n">
        <x:v>21795902589</x:v>
      </x:c>
      <x:c r="H50" s="12" t="str">
        <x:v>Đã bán</x:v>
      </x:c>
      <x:c r="I50" s="14" t="str">
        <x:v>DA002</x:v>
      </x:c>
      <x:c r="J50" s="14" t="str">
        <x:v>LSP014</x:v>
      </x:c>
    </x:row>
    <x:row r="51" ht="15" hidden="0" customHeight="1">
      <x:c r="A51" s="14" t="str">
        <x:v>TT4-7</x:v>
      </x:c>
      <x:c r="B51" s="18" t="n">
        <x:v>80.62</x:v>
      </x:c>
      <x:c r="C51" s="12" t="str">
        <x:v>Tây Bắc</x:v>
      </x:c>
      <x:c r="D51" s="22" t="n">
        <x:v>22420077548</x:v>
      </x:c>
      <x:c r="E51" s="22" t="n">
        <x:v>20706107460</x:v>
      </x:c>
      <x:c r="F51" s="22" t="n">
        <x:v>21142025512</x:v>
      </x:c>
      <x:c r="G51" s="22" t="n">
        <x:v>21795902589</x:v>
      </x:c>
      <x:c r="H51" s="12" t="str">
        <x:v>Đã bán</x:v>
      </x:c>
      <x:c r="I51" s="14" t="str">
        <x:v>DA002</x:v>
      </x:c>
      <x:c r="J51" s="14" t="str">
        <x:v>LSP014</x:v>
      </x:c>
    </x:row>
    <x:row r="52" ht="15" hidden="0" customHeight="1">
      <x:c r="A52" s="14" t="str">
        <x:v>TT4-8</x:v>
      </x:c>
      <x:c r="B52" s="18" t="n">
        <x:v>80.62</x:v>
      </x:c>
      <x:c r="C52" s="12" t="str">
        <x:v>Tây Bắc</x:v>
      </x:c>
      <x:c r="D52" s="22" t="n">
        <x:v>22420077548</x:v>
      </x:c>
      <x:c r="E52" s="22" t="n">
        <x:v>20706107460</x:v>
      </x:c>
      <x:c r="F52" s="22" t="n">
        <x:v>21142025512</x:v>
      </x:c>
      <x:c r="G52" s="22" t="n">
        <x:v>21795902589</x:v>
      </x:c>
      <x:c r="H52" s="12" t="str">
        <x:v>Đã bán</x:v>
      </x:c>
      <x:c r="I52" s="14" t="str">
        <x:v>DA002</x:v>
      </x:c>
      <x:c r="J52" s="14" t="str">
        <x:v>LSP014</x:v>
      </x:c>
    </x:row>
    <x:row r="53" ht="15" hidden="0" customHeight="1">
      <x:c r="A53" s="14" t="str">
        <x:v>TT4-9</x:v>
      </x:c>
      <x:c r="B53" s="18" t="n">
        <x:v>80.62</x:v>
      </x:c>
      <x:c r="C53" s="12" t="str">
        <x:v>Tây Bắc</x:v>
      </x:c>
      <x:c r="D53" s="22" t="n">
        <x:v>20032968373</x:v>
      </x:c>
      <x:c r="E53" s="22" t="n">
        <x:v>18501488007</x:v>
      </x:c>
      <x:c r="F53" s="22" t="n">
        <x:v>18890993017</x:v>
      </x:c>
      <x:c r="G53" s="22" t="n">
        <x:v>19475250533</x:v>
      </x:c>
      <x:c r="H53" s="12" t="str">
        <x:v>Đã bán</x:v>
      </x:c>
      <x:c r="I53" s="14" t="str">
        <x:v>DA002</x:v>
      </x:c>
      <x:c r="J53" s="14" t="str">
        <x:v>LSP014</x:v>
      </x:c>
    </x:row>
    <x:row r="54" ht="15" hidden="0" customHeight="1">
      <x:c r="A54" s="14" t="str">
        <x:v>TT4-10</x:v>
      </x:c>
      <x:c r="B54" s="18" t="n">
        <x:v>80.62</x:v>
      </x:c>
      <x:c r="C54" s="12" t="str">
        <x:v>Tây Bắc</x:v>
      </x:c>
      <x:c r="D54" s="22" t="n">
        <x:v>20032968373</x:v>
      </x:c>
      <x:c r="E54" s="22" t="n">
        <x:v>18501488007</x:v>
      </x:c>
      <x:c r="F54" s="22" t="n">
        <x:v>18890993017</x:v>
      </x:c>
      <x:c r="G54" s="22" t="n">
        <x:v>19475250533</x:v>
      </x:c>
      <x:c r="H54" s="12" t="str">
        <x:v>Đã bán</x:v>
      </x:c>
      <x:c r="I54" s="14" t="str">
        <x:v>DA002</x:v>
      </x:c>
      <x:c r="J54" s="14" t="str">
        <x:v>LSP014</x:v>
      </x:c>
    </x:row>
    <x:row r="55" ht="15" hidden="0" customHeight="1">
      <x:c r="A55" s="14" t="str">
        <x:v>TT4-11</x:v>
      </x:c>
      <x:c r="B55" s="18" t="n">
        <x:v>80.62</x:v>
      </x:c>
      <x:c r="C55" s="12" t="str">
        <x:v>Tây Bắc</x:v>
      </x:c>
      <x:c r="D55" s="22" t="n">
        <x:v>20032968373</x:v>
      </x:c>
      <x:c r="E55" s="22" t="n">
        <x:v>18501488007</x:v>
      </x:c>
      <x:c r="F55" s="22" t="n">
        <x:v>18890993017</x:v>
      </x:c>
      <x:c r="G55" s="22" t="n">
        <x:v>19475250533</x:v>
      </x:c>
      <x:c r="H55" s="12" t="str">
        <x:v>Đã bán</x:v>
      </x:c>
      <x:c r="I55" s="14" t="str">
        <x:v>DA002</x:v>
      </x:c>
      <x:c r="J55" s="14" t="str">
        <x:v>LSP014</x:v>
      </x:c>
    </x:row>
    <x:row r="56" ht="15" hidden="0" customHeight="1">
      <x:c r="A56" s="14" t="str">
        <x:v>TT4-12</x:v>
      </x:c>
      <x:c r="B56" s="18" t="n">
        <x:v>80.62</x:v>
      </x:c>
      <x:c r="C56" s="12" t="str">
        <x:v>Tây Bắc</x:v>
      </x:c>
      <x:c r="D56" s="22" t="n">
        <x:v>20032968373</x:v>
      </x:c>
      <x:c r="E56" s="22" t="n">
        <x:v>18501488007</x:v>
      </x:c>
      <x:c r="F56" s="22" t="n">
        <x:v>18890993017</x:v>
      </x:c>
      <x:c r="G56" s="22" t="n">
        <x:v>19475250533</x:v>
      </x:c>
      <x:c r="H56" s="12" t="str">
        <x:v>Đã bán</x:v>
      </x:c>
      <x:c r="I56" s="14" t="str">
        <x:v>DA002</x:v>
      </x:c>
      <x:c r="J56" s="14" t="str">
        <x:v>LSP014</x:v>
      </x:c>
    </x:row>
    <x:row r="57" ht="15" hidden="0" customHeight="1">
      <x:c r="A57" s="14" t="str">
        <x:v>TT4-13</x:v>
      </x:c>
      <x:c r="B57" s="18" t="n">
        <x:v>80.62</x:v>
      </x:c>
      <x:c r="C57" s="12" t="str">
        <x:v>Tây Bắc</x:v>
      </x:c>
      <x:c r="D57" s="22" t="n">
        <x:v>20032968373</x:v>
      </x:c>
      <x:c r="E57" s="22" t="n">
        <x:v>18501488007</x:v>
      </x:c>
      <x:c r="F57" s="22" t="n">
        <x:v>18890993017</x:v>
      </x:c>
      <x:c r="G57" s="22" t="n">
        <x:v>19475250533</x:v>
      </x:c>
      <x:c r="H57" s="12" t="str">
        <x:v>Đã bán</x:v>
      </x:c>
      <x:c r="I57" s="14" t="str">
        <x:v>DA002</x:v>
      </x:c>
      <x:c r="J57" s="14" t="str">
        <x:v>LSP014</x:v>
      </x:c>
    </x:row>
    <x:row r="58" ht="15" hidden="0" customHeight="1">
      <x:c r="A58" s="14" t="str">
        <x:v>TT4-14</x:v>
      </x:c>
      <x:c r="B58" s="18" t="n">
        <x:v>112.88</x:v>
      </x:c>
      <x:c r="C58" s="12" t="str">
        <x:v>Tây Bắc</x:v>
      </x:c>
      <x:c r="D58" s="22" t="n">
        <x:v>28651621245</x:v>
      </x:c>
      <x:c r="E58" s="22" t="n">
        <x:v>26461262104</x:v>
      </x:c>
      <x:c r="F58" s="22" t="n">
        <x:v>27018341307</x:v>
      </x:c>
      <x:c r="G58" s="22" t="n">
        <x:v>27853960110</x:v>
      </x:c>
      <x:c r="H58" s="12" t="str">
        <x:v>Đã bán</x:v>
      </x:c>
      <x:c r="I58" s="14" t="str">
        <x:v>DA002</x:v>
      </x:c>
      <x:c r="J58" s="14" t="str">
        <x:v>LSP014</x:v>
      </x:c>
    </x:row>
    <x:row r="59" ht="15" hidden="0" customHeight="1">
      <x:c r="A59" s="14" t="str">
        <x:v>TT4-17</x:v>
      </x:c>
      <x:c r="B59" s="18" t="n">
        <x:v>112.88</x:v>
      </x:c>
      <x:c r="C59" s="12" t="str">
        <x:v>Đông Nam</x:v>
      </x:c>
      <x:c r="D59" s="22" t="n">
        <x:v>34639756291</x:v>
      </x:c>
      <x:c r="E59" s="22" t="n">
        <x:v>31991616202</x:v>
      </x:c>
      <x:c r="F59" s="22" t="n">
        <x:v>32665123912</x:v>
      </x:c>
      <x:c r="G59" s="22" t="n">
        <x:v>33675385476</x:v>
      </x:c>
      <x:c r="H59" s="12" t="str">
        <x:v>Đã bán</x:v>
      </x:c>
      <x:c r="I59" s="14" t="str">
        <x:v>DA002</x:v>
      </x:c>
      <x:c r="J59" s="14" t="str">
        <x:v>LSP014</x:v>
      </x:c>
    </x:row>
    <x:row r="60" ht="15" hidden="0" customHeight="1">
      <x:c r="A60" s="14" t="str">
        <x:v>TT4-18</x:v>
      </x:c>
      <x:c r="B60" s="18" t="n">
        <x:v>80.62</x:v>
      </x:c>
      <x:c r="C60" s="12" t="str">
        <x:v>Đông Nam</x:v>
      </x:c>
      <x:c r="D60" s="22" t="n">
        <x:v>23643914479</x:v>
      </x:c>
      <x:c r="E60" s="22"/>
      <x:c r="F60" s="22"/>
      <x:c r="G60" s="22"/>
      <x:c r="H60" s="12" t="str">
        <x:v>Đã bán</x:v>
      </x:c>
      <x:c r="I60" s="14" t="str">
        <x:v>DA002</x:v>
      </x:c>
      <x:c r="J60" s="14" t="str">
        <x:v>LSP014</x:v>
      </x:c>
    </x:row>
    <x:row r="61" ht="15" hidden="0" customHeight="1">
      <x:c r="A61" s="14" t="str">
        <x:v>TT4-19</x:v>
      </x:c>
      <x:c r="B61" s="18" t="n">
        <x:v>80.62</x:v>
      </x:c>
      <x:c r="C61" s="12" t="str">
        <x:v>Đông Nam</x:v>
      </x:c>
      <x:c r="D61" s="22" t="n">
        <x:v>23643914479</x:v>
      </x:c>
      <x:c r="E61" s="22"/>
      <x:c r="F61" s="22"/>
      <x:c r="G61" s="22"/>
      <x:c r="H61" s="12" t="str">
        <x:v>Đã bán</x:v>
      </x:c>
      <x:c r="I61" s="14" t="str">
        <x:v>DA002</x:v>
      </x:c>
      <x:c r="J61" s="14" t="str">
        <x:v>LSP014</x:v>
      </x:c>
    </x:row>
    <x:row r="62" ht="15" hidden="0" customHeight="1">
      <x:c r="A62" s="14" t="str">
        <x:v>TT4-20</x:v>
      </x:c>
      <x:c r="B62" s="18" t="n">
        <x:v>80.62</x:v>
      </x:c>
      <x:c r="C62" s="12" t="str">
        <x:v>Đông Nam</x:v>
      </x:c>
      <x:c r="D62" s="22" t="n">
        <x:v>23643914479</x:v>
      </x:c>
      <x:c r="E62" s="22"/>
      <x:c r="F62" s="22"/>
      <x:c r="G62" s="22"/>
      <x:c r="H62" s="12" t="str">
        <x:v>Đã bán</x:v>
      </x:c>
      <x:c r="I62" s="14" t="str">
        <x:v>DA002</x:v>
      </x:c>
      <x:c r="J62" s="14" t="str">
        <x:v>LSP014</x:v>
      </x:c>
    </x:row>
    <x:row r="63" ht="15" hidden="0" customHeight="1">
      <x:c r="A63" s="14" t="str">
        <x:v>TT4-21</x:v>
      </x:c>
      <x:c r="B63" s="18" t="n">
        <x:v>80.62</x:v>
      </x:c>
      <x:c r="C63" s="12" t="str">
        <x:v>Đông Nam</x:v>
      </x:c>
      <x:c r="D63" s="22" t="n">
        <x:v>23643914479</x:v>
      </x:c>
      <x:c r="E63" s="22"/>
      <x:c r="F63" s="22"/>
      <x:c r="G63" s="22"/>
      <x:c r="H63" s="12" t="str">
        <x:v>Đã bán</x:v>
      </x:c>
      <x:c r="I63" s="14" t="str">
        <x:v>DA002</x:v>
      </x:c>
      <x:c r="J63" s="14" t="str">
        <x:v>LSP014</x:v>
      </x:c>
    </x:row>
    <x:row r="64" ht="15" hidden="0" customHeight="1">
      <x:c r="A64" s="14" t="str">
        <x:v>TT4-22</x:v>
      </x:c>
      <x:c r="B64" s="18" t="n">
        <x:v>80.62</x:v>
      </x:c>
      <x:c r="C64" s="12" t="str">
        <x:v>Đông Nam</x:v>
      </x:c>
      <x:c r="D64" s="22" t="n">
        <x:v>23643914479</x:v>
      </x:c>
      <x:c r="E64" s="22" t="n">
        <x:v>21836384505</x:v>
      </x:c>
      <x:c r="F64" s="22" t="n">
        <x:v>22296097863</x:v>
      </x:c>
      <x:c r="G64" s="22" t="n">
        <x:v>22985667900</x:v>
      </x:c>
      <x:c r="H64" s="12" t="str">
        <x:v>Đã bán</x:v>
      </x:c>
      <x:c r="I64" s="14" t="str">
        <x:v>DA002</x:v>
      </x:c>
      <x:c r="J64" s="14" t="str">
        <x:v>LSP014</x:v>
      </x:c>
    </x:row>
    <x:row r="65" ht="15" hidden="0" customHeight="1">
      <x:c r="A65" s="14" t="str">
        <x:v>TT4-23</x:v>
      </x:c>
      <x:c r="B65" s="18" t="n">
        <x:v>80.62</x:v>
      </x:c>
      <x:c r="C65" s="12" t="str">
        <x:v>Đông Nam</x:v>
      </x:c>
      <x:c r="D65" s="22" t="n">
        <x:v>23643914479</x:v>
      </x:c>
      <x:c r="E65" s="22" t="n">
        <x:v>21836384505</x:v>
      </x:c>
      <x:c r="F65" s="22" t="n">
        <x:v>22296097863</x:v>
      </x:c>
      <x:c r="G65" s="22" t="n">
        <x:v>22985667900</x:v>
      </x:c>
      <x:c r="H65" s="12" t="str">
        <x:v>Đã bán</x:v>
      </x:c>
      <x:c r="I65" s="14" t="str">
        <x:v>DA002</x:v>
      </x:c>
      <x:c r="J65" s="14" t="str">
        <x:v>LSP014</x:v>
      </x:c>
    </x:row>
    <x:row r="66" ht="15" hidden="0" customHeight="1">
      <x:c r="A66" s="14" t="str">
        <x:v>TT4-24</x:v>
      </x:c>
      <x:c r="B66" s="18" t="n">
        <x:v>80.62</x:v>
      </x:c>
      <x:c r="C66" s="12" t="str">
        <x:v>Đông Nam</x:v>
      </x:c>
      <x:c r="D66" s="22" t="n">
        <x:v>23643914479</x:v>
      </x:c>
      <x:c r="E66" s="22" t="n">
        <x:v>21836384505</x:v>
      </x:c>
      <x:c r="F66" s="22" t="n">
        <x:v>22296097863</x:v>
      </x:c>
      <x:c r="G66" s="22" t="n">
        <x:v>22985667900</x:v>
      </x:c>
      <x:c r="H66" s="12" t="str">
        <x:v>Đã bán</x:v>
      </x:c>
      <x:c r="I66" s="14" t="str">
        <x:v>DA002</x:v>
      </x:c>
      <x:c r="J66" s="14" t="str">
        <x:v>LSP014</x:v>
      </x:c>
    </x:row>
    <x:row r="67" ht="15" hidden="0" customHeight="1">
      <x:c r="A67" s="14" t="str">
        <x:v>TT4-25</x:v>
      </x:c>
      <x:c r="B67" s="18" t="n">
        <x:v>80.62</x:v>
      </x:c>
      <x:c r="C67" s="12" t="str">
        <x:v>Đông Nam</x:v>
      </x:c>
      <x:c r="D67" s="22" t="n">
        <x:v>23643914479</x:v>
      </x:c>
      <x:c r="E67" s="22" t="n">
        <x:v>21836384505</x:v>
      </x:c>
      <x:c r="F67" s="22" t="n">
        <x:v>22296097863</x:v>
      </x:c>
      <x:c r="G67" s="22" t="n">
        <x:v>22985667900</x:v>
      </x:c>
      <x:c r="H67" s="12" t="str">
        <x:v>Đã bán</x:v>
      </x:c>
      <x:c r="I67" s="14" t="str">
        <x:v>DA002</x:v>
      </x:c>
      <x:c r="J67" s="14" t="str">
        <x:v>LSP014</x:v>
      </x:c>
    </x:row>
    <x:row r="68" ht="15" hidden="0" customHeight="1">
      <x:c r="A68" s="14" t="str">
        <x:v>TT4-26</x:v>
      </x:c>
      <x:c r="B68" s="18" t="n">
        <x:v>80.62</x:v>
      </x:c>
      <x:c r="C68" s="12" t="str">
        <x:v>Đông Nam</x:v>
      </x:c>
      <x:c r="D68" s="22" t="n">
        <x:v>23643914479</x:v>
      </x:c>
      <x:c r="E68" s="22" t="n">
        <x:v>21836384505</x:v>
      </x:c>
      <x:c r="F68" s="22" t="n">
        <x:v>22296097863</x:v>
      </x:c>
      <x:c r="G68" s="22" t="n">
        <x:v>22985667900</x:v>
      </x:c>
      <x:c r="H68" s="12" t="str">
        <x:v>Đã bán</x:v>
      </x:c>
      <x:c r="I68" s="14" t="str">
        <x:v>DA002</x:v>
      </x:c>
      <x:c r="J68" s="14" t="str">
        <x:v>LSP014</x:v>
      </x:c>
    </x:row>
    <x:row r="69" ht="15" hidden="0" customHeight="1">
      <x:c r="A69" s="14" t="str">
        <x:v>TT4-27</x:v>
      </x:c>
      <x:c r="B69" s="18" t="n">
        <x:v>80.62</x:v>
      </x:c>
      <x:c r="C69" s="12" t="str">
        <x:v>Đông Nam</x:v>
      </x:c>
      <x:c r="D69" s="22" t="n">
        <x:v>23643914479</x:v>
      </x:c>
      <x:c r="E69" s="22" t="n">
        <x:v>21836384505</x:v>
      </x:c>
      <x:c r="F69" s="22" t="n">
        <x:v>22296097863</x:v>
      </x:c>
      <x:c r="G69" s="22" t="n">
        <x:v>22985667900</x:v>
      </x:c>
      <x:c r="H69" s="12" t="str">
        <x:v>Đã bán</x:v>
      </x:c>
      <x:c r="I69" s="14" t="str">
        <x:v>DA002</x:v>
      </x:c>
      <x:c r="J69" s="14" t="str">
        <x:v>LSP014</x:v>
      </x:c>
    </x:row>
    <x:row r="70" ht="15" hidden="0" customHeight="1">
      <x:c r="A70" s="14" t="str">
        <x:v>TT4-28</x:v>
      </x:c>
      <x:c r="B70" s="18" t="n">
        <x:v>112.88</x:v>
      </x:c>
      <x:c r="C70" s="12" t="str">
        <x:v>Đông Nam</x:v>
      </x:c>
      <x:c r="D70" s="22" t="n">
        <x:v>34002176747</x:v>
      </x:c>
      <x:c r="E70" s="22" t="n">
        <x:v>31402778339</x:v>
      </x:c>
      <x:c r="F70" s="22" t="n">
        <x:v>32063889462</x:v>
      </x:c>
      <x:c r="G70" s="22" t="n">
        <x:v>33055556147</x:v>
      </x:c>
      <x:c r="H70" s="12" t="str">
        <x:v>Đã bán</x:v>
      </x:c>
      <x:c r="I70" s="14" t="str">
        <x:v>DA002</x:v>
      </x:c>
      <x:c r="J70" s="14" t="str">
        <x:v>LSP014</x:v>
      </x:c>
    </x:row>
    <x:row r="71" ht="15" hidden="0" customHeight="1">
      <x:c r="A71" s="14" t="str">
        <x:v>TT5-2</x:v>
      </x:c>
      <x:c r="B71" s="18" t="n">
        <x:v>112.88</x:v>
      </x:c>
      <x:c r="C71" s="12" t="str">
        <x:v>Tây Bắc</x:v>
      </x:c>
      <x:c r="D71" s="22" t="n">
        <x:v>33065929374</x:v>
      </x:c>
      <x:c r="E71" s="22" t="n">
        <x:v>30538105205</x:v>
      </x:c>
      <x:c r="F71" s="22" t="n">
        <x:v>31181012683</x:v>
      </x:c>
      <x:c r="G71" s="22" t="n">
        <x:v>32145373900</x:v>
      </x:c>
      <x:c r="H71" s="12" t="str">
        <x:v>Đã bán</x:v>
      </x:c>
      <x:c r="I71" s="14" t="str">
        <x:v>DA002</x:v>
      </x:c>
      <x:c r="J71" s="14" t="str">
        <x:v>LSP014</x:v>
      </x:c>
    </x:row>
    <x:row r="72" ht="15" hidden="0" customHeight="1">
      <x:c r="A72" s="14" t="str">
        <x:v>TT5-3</x:v>
      </x:c>
      <x:c r="B72" s="18" t="n">
        <x:v>80.63</x:v>
      </x:c>
      <x:c r="C72" s="12" t="str">
        <x:v>Tây Bắc</x:v>
      </x:c>
      <x:c r="D72" s="22" t="n">
        <x:v>23012435957</x:v>
      </x:c>
      <x:c r="E72" s="22" t="n">
        <x:v>21253181253</x:v>
      </x:c>
      <x:c r="F72" s="22" t="n">
        <x:v>21700616648</x:v>
      </x:c>
      <x:c r="G72" s="22" t="n">
        <x:v>22371769740</x:v>
      </x:c>
      <x:c r="H72" s="12" t="str">
        <x:v>Đã bán</x:v>
      </x:c>
      <x:c r="I72" s="14" t="str">
        <x:v>DA002</x:v>
      </x:c>
      <x:c r="J72" s="14" t="str">
        <x:v>LSP014</x:v>
      </x:c>
    </x:row>
    <x:row r="73" ht="15" hidden="0" customHeight="1">
      <x:c r="A73" s="14" t="str">
        <x:v>TT5-4</x:v>
      </x:c>
      <x:c r="B73" s="18" t="n">
        <x:v>80.63</x:v>
      </x:c>
      <x:c r="C73" s="12" t="str">
        <x:v>Tây Bắc</x:v>
      </x:c>
      <x:c r="D73" s="22" t="n">
        <x:v>23012435957</x:v>
      </x:c>
      <x:c r="E73" s="22" t="n">
        <x:v>21253181253</x:v>
      </x:c>
      <x:c r="F73" s="22" t="n">
        <x:v>21700616648</x:v>
      </x:c>
      <x:c r="G73" s="22" t="n">
        <x:v>22371769740</x:v>
      </x:c>
      <x:c r="H73" s="12" t="str">
        <x:v>Đã bán</x:v>
      </x:c>
      <x:c r="I73" s="14" t="str">
        <x:v>DA002</x:v>
      </x:c>
      <x:c r="J73" s="14" t="str">
        <x:v>LSP014</x:v>
      </x:c>
    </x:row>
    <x:row r="74" ht="15" hidden="0" customHeight="1">
      <x:c r="A74" s="14" t="str">
        <x:v>TT5-5</x:v>
      </x:c>
      <x:c r="B74" s="18" t="n">
        <x:v>80.63</x:v>
      </x:c>
      <x:c r="C74" s="12" t="str">
        <x:v>Tây Bắc</x:v>
      </x:c>
      <x:c r="D74" s="22" t="n">
        <x:v>23012435957</x:v>
      </x:c>
      <x:c r="E74" s="22" t="n">
        <x:v>21253181253</x:v>
      </x:c>
      <x:c r="F74" s="22" t="n">
        <x:v>21700616648</x:v>
      </x:c>
      <x:c r="G74" s="22" t="n">
        <x:v>22371769740</x:v>
      </x:c>
      <x:c r="H74" s="12" t="str">
        <x:v>Đã bán</x:v>
      </x:c>
      <x:c r="I74" s="14" t="str">
        <x:v>DA002</x:v>
      </x:c>
      <x:c r="J74" s="14" t="str">
        <x:v>LSP014</x:v>
      </x:c>
    </x:row>
    <x:row r="75" ht="15" hidden="0" customHeight="1">
      <x:c r="A75" s="14" t="str">
        <x:v>TT5-6</x:v>
      </x:c>
      <x:c r="B75" s="18" t="n">
        <x:v>80.63</x:v>
      </x:c>
      <x:c r="C75" s="12" t="str">
        <x:v>Tây Bắc</x:v>
      </x:c>
      <x:c r="D75" s="22" t="n">
        <x:v>23012435957</x:v>
      </x:c>
      <x:c r="E75" s="22" t="n">
        <x:v>21253181253</x:v>
      </x:c>
      <x:c r="F75" s="22" t="n">
        <x:v>21700616648</x:v>
      </x:c>
      <x:c r="G75" s="22" t="n">
        <x:v>22371769740</x:v>
      </x:c>
      <x:c r="H75" s="12" t="str">
        <x:v>Còn hàng</x:v>
      </x:c>
      <x:c r="I75" s="14" t="str">
        <x:v>DA002</x:v>
      </x:c>
      <x:c r="J75" s="14" t="str">
        <x:v>LSP014</x:v>
      </x:c>
    </x:row>
    <x:row r="76" ht="15" hidden="0" customHeight="1">
      <x:c r="A76" s="14" t="str">
        <x:v>TT5-7</x:v>
      </x:c>
      <x:c r="B76" s="18" t="n">
        <x:v>80.63</x:v>
      </x:c>
      <x:c r="C76" s="12" t="str">
        <x:v>Tây Bắc</x:v>
      </x:c>
      <x:c r="D76" s="22" t="n">
        <x:v>23012435957</x:v>
      </x:c>
      <x:c r="E76" s="22" t="n">
        <x:v>21253181253</x:v>
      </x:c>
      <x:c r="F76" s="22" t="n">
        <x:v>21700616648</x:v>
      </x:c>
      <x:c r="G76" s="22" t="n">
        <x:v>22371769740</x:v>
      </x:c>
      <x:c r="H76" s="12" t="str">
        <x:v>Còn hàng</x:v>
      </x:c>
      <x:c r="I76" s="14" t="str">
        <x:v>DA002</x:v>
      </x:c>
      <x:c r="J76" s="14" t="str">
        <x:v>LSP014</x:v>
      </x:c>
    </x:row>
    <x:row r="77" ht="15" hidden="0" customHeight="1">
      <x:c r="A77" s="14" t="str">
        <x:v>TT5-8</x:v>
      </x:c>
      <x:c r="B77" s="18" t="n">
        <x:v>80.63</x:v>
      </x:c>
      <x:c r="C77" s="12" t="str">
        <x:v>Tây Bắc</x:v>
      </x:c>
      <x:c r="D77" s="22" t="n">
        <x:v>23012435957</x:v>
      </x:c>
      <x:c r="E77" s="22"/>
      <x:c r="F77" s="22"/>
      <x:c r="G77" s="22"/>
      <x:c r="H77" s="12" t="str">
        <x:v>Đã bán</x:v>
      </x:c>
      <x:c r="I77" s="14" t="str">
        <x:v>DA002</x:v>
      </x:c>
      <x:c r="J77" s="14" t="str">
        <x:v>LSP014</x:v>
      </x:c>
    </x:row>
    <x:row r="78" ht="15" hidden="0" customHeight="1">
      <x:c r="A78" s="14" t="str">
        <x:v>TT5-9</x:v>
      </x:c>
      <x:c r="B78" s="18" t="n">
        <x:v>80.63</x:v>
      </x:c>
      <x:c r="C78" s="12" t="str">
        <x:v>Tây Bắc</x:v>
      </x:c>
      <x:c r="D78" s="22" t="n">
        <x:v>23012435957</x:v>
      </x:c>
      <x:c r="E78" s="22"/>
      <x:c r="F78" s="22"/>
      <x:c r="G78" s="22"/>
      <x:c r="H78" s="12" t="str">
        <x:v>Đã bán</x:v>
      </x:c>
      <x:c r="I78" s="14" t="str">
        <x:v>DA002</x:v>
      </x:c>
      <x:c r="J78" s="14" t="str">
        <x:v>LSP014</x:v>
      </x:c>
    </x:row>
    <x:row r="79" ht="15" hidden="0" customHeight="1">
      <x:c r="A79" s="14" t="str">
        <x:v>TT5-10</x:v>
      </x:c>
      <x:c r="B79" s="18" t="n">
        <x:v>80.63</x:v>
      </x:c>
      <x:c r="C79" s="12" t="str">
        <x:v>Tây Bắc</x:v>
      </x:c>
      <x:c r="D79" s="22" t="n">
        <x:v>23012435957</x:v>
      </x:c>
      <x:c r="E79" s="22"/>
      <x:c r="F79" s="22"/>
      <x:c r="G79" s="22"/>
      <x:c r="H79" s="12" t="str">
        <x:v>Đã bán</x:v>
      </x:c>
      <x:c r="I79" s="14" t="str">
        <x:v>DA002</x:v>
      </x:c>
      <x:c r="J79" s="14" t="str">
        <x:v>LSP014</x:v>
      </x:c>
    </x:row>
    <x:row r="80" ht="15" hidden="0" customHeight="1">
      <x:c r="A80" s="14" t="str">
        <x:v>TT5-11</x:v>
      </x:c>
      <x:c r="B80" s="18" t="n">
        <x:v>112.88</x:v>
      </x:c>
      <x:c r="C80" s="12" t="str">
        <x:v>Tây Bắc</x:v>
      </x:c>
      <x:c r="D80" s="22" t="n">
        <x:v>33065929374</x:v>
      </x:c>
      <x:c r="E80" s="22" t="n">
        <x:v>30538105205</x:v>
      </x:c>
      <x:c r="F80" s="22" t="n">
        <x:v>31181012683</x:v>
      </x:c>
      <x:c r="G80" s="22" t="n">
        <x:v>32145373900</x:v>
      </x:c>
      <x:c r="H80" s="12" t="str">
        <x:v>Còn hàng</x:v>
      </x:c>
      <x:c r="I80" s="14" t="str">
        <x:v>DA002</x:v>
      </x:c>
      <x:c r="J80" s="14" t="str">
        <x:v>LSP014</x:v>
      </x:c>
    </x:row>
    <x:row r="81" ht="15" hidden="0" customHeight="1">
      <x:c r="A81" s="14" t="str">
        <x:v>TT5-14</x:v>
      </x:c>
      <x:c r="B81" s="18" t="n">
        <x:v>112.88</x:v>
      </x:c>
      <x:c r="C81" s="12" t="str">
        <x:v>Đông Nam</x:v>
      </x:c>
      <x:c r="D81" s="22" t="n">
        <x:v>31898279155</x:v>
      </x:c>
      <x:c r="E81" s="22" t="n">
        <x:v>29459719510</x:v>
      </x:c>
      <x:c r="F81" s="22" t="n">
        <x:v>30079924131</x:v>
      </x:c>
      <x:c r="G81" s="22" t="n">
        <x:v>31010231063</x:v>
      </x:c>
      <x:c r="H81" s="12" t="str">
        <x:v>Còn hàng</x:v>
      </x:c>
      <x:c r="I81" s="14" t="str">
        <x:v>DA002</x:v>
      </x:c>
      <x:c r="J81" s="14" t="str">
        <x:v>LSP014</x:v>
      </x:c>
    </x:row>
    <x:row r="82" ht="15" hidden="0" customHeight="1">
      <x:c r="A82" s="14" t="str">
        <x:v>TT5-15</x:v>
      </x:c>
      <x:c r="B82" s="18" t="n">
        <x:v>80.63</x:v>
      </x:c>
      <x:c r="C82" s="12" t="str">
        <x:v>Đông Nam</x:v>
      </x:c>
      <x:c r="D82" s="22" t="n">
        <x:v>22224406244</x:v>
      </x:c>
      <x:c r="E82" s="22"/>
      <x:c r="F82" s="22"/>
      <x:c r="G82" s="22"/>
      <x:c r="H82" s="12" t="str">
        <x:v>Đã bán</x:v>
      </x:c>
      <x:c r="I82" s="14" t="str">
        <x:v>DA002</x:v>
      </x:c>
      <x:c r="J82" s="14" t="str">
        <x:v>LSP014</x:v>
      </x:c>
    </x:row>
    <x:row r="83" ht="15" hidden="0" customHeight="1">
      <x:c r="A83" s="14" t="str">
        <x:v>TT5-16</x:v>
      </x:c>
      <x:c r="B83" s="18" t="n">
        <x:v>80.63</x:v>
      </x:c>
      <x:c r="C83" s="12" t="str">
        <x:v>Đông Nam</x:v>
      </x:c>
      <x:c r="D83" s="22" t="n">
        <x:v>22224406244</x:v>
      </x:c>
      <x:c r="E83" s="22" t="n">
        <x:v>20525394835</x:v>
      </x:c>
      <x:c r="F83" s="22" t="n">
        <x:v>20957508411</x:v>
      </x:c>
      <x:c r="G83" s="22" t="n">
        <x:v>21605678774</x:v>
      </x:c>
      <x:c r="H83" s="12" t="str">
        <x:v>Còn hàng</x:v>
      </x:c>
      <x:c r="I83" s="14" t="str">
        <x:v>DA002</x:v>
      </x:c>
      <x:c r="J83" s="14" t="str">
        <x:v>LSP014</x:v>
      </x:c>
    </x:row>
    <x:row r="84" ht="15" hidden="0" customHeight="1">
      <x:c r="A84" s="14" t="str">
        <x:v>TT5-17</x:v>
      </x:c>
      <x:c r="B84" s="18" t="n">
        <x:v>80.63</x:v>
      </x:c>
      <x:c r="C84" s="12" t="str">
        <x:v>Đông Nam</x:v>
      </x:c>
      <x:c r="D84" s="22" t="n">
        <x:v>22224406244</x:v>
      </x:c>
      <x:c r="E84" s="22" t="n">
        <x:v>20525394835</x:v>
      </x:c>
      <x:c r="F84" s="22" t="n">
        <x:v>20957508411</x:v>
      </x:c>
      <x:c r="G84" s="22" t="n">
        <x:v>21605678774</x:v>
      </x:c>
      <x:c r="H84" s="12" t="str">
        <x:v>Còn hàng</x:v>
      </x:c>
      <x:c r="I84" s="14" t="str">
        <x:v>DA002</x:v>
      </x:c>
      <x:c r="J84" s="14" t="str">
        <x:v>LSP014</x:v>
      </x:c>
    </x:row>
    <x:row r="85" ht="15" hidden="0" customHeight="1">
      <x:c r="A85" s="14" t="str">
        <x:v>TT5-18</x:v>
      </x:c>
      <x:c r="B85" s="18" t="n">
        <x:v>80.63</x:v>
      </x:c>
      <x:c r="C85" s="12" t="str">
        <x:v>Đông Nam</x:v>
      </x:c>
      <x:c r="D85" s="22" t="n">
        <x:v>22224406244</x:v>
      </x:c>
      <x:c r="E85" s="22" t="n">
        <x:v>20525394835</x:v>
      </x:c>
      <x:c r="F85" s="22" t="n">
        <x:v>20957508411</x:v>
      </x:c>
      <x:c r="G85" s="22" t="n">
        <x:v>21605678774</x:v>
      </x:c>
      <x:c r="H85" s="12" t="str">
        <x:v>Còn hàng</x:v>
      </x:c>
      <x:c r="I85" s="14" t="str">
        <x:v>DA002</x:v>
      </x:c>
      <x:c r="J85" s="14" t="str">
        <x:v>LSP014</x:v>
      </x:c>
    </x:row>
    <x:row r="86" ht="15" hidden="0" customHeight="1">
      <x:c r="A86" s="14" t="str">
        <x:v>TT5-19</x:v>
      </x:c>
      <x:c r="B86" s="18" t="n">
        <x:v>80.63</x:v>
      </x:c>
      <x:c r="C86" s="12" t="str">
        <x:v>Đông Nam</x:v>
      </x:c>
      <x:c r="D86" s="22" t="n">
        <x:v>22224406244</x:v>
      </x:c>
      <x:c r="E86" s="22" t="n">
        <x:v>20525394835</x:v>
      </x:c>
      <x:c r="F86" s="22" t="n">
        <x:v>20957508411</x:v>
      </x:c>
      <x:c r="G86" s="22" t="n">
        <x:v>21605678774</x:v>
      </x:c>
      <x:c r="H86" s="12" t="str">
        <x:v>Còn hàng</x:v>
      </x:c>
      <x:c r="I86" s="14" t="str">
        <x:v>DA002</x:v>
      </x:c>
      <x:c r="J86" s="14" t="str">
        <x:v>LSP014</x:v>
      </x:c>
    </x:row>
    <x:row r="87" ht="15" hidden="0" customHeight="1">
      <x:c r="A87" s="14" t="str">
        <x:v>TT5-20</x:v>
      </x:c>
      <x:c r="B87" s="18" t="n">
        <x:v>80.63</x:v>
      </x:c>
      <x:c r="C87" s="12" t="str">
        <x:v>Đông Nam</x:v>
      </x:c>
      <x:c r="D87" s="22" t="n">
        <x:v>22224406244</x:v>
      </x:c>
      <x:c r="E87" s="22" t="n">
        <x:v>20525394835</x:v>
      </x:c>
      <x:c r="F87" s="22" t="n">
        <x:v>20957508411</x:v>
      </x:c>
      <x:c r="G87" s="22" t="n">
        <x:v>21605678774</x:v>
      </x:c>
      <x:c r="H87" s="12" t="str">
        <x:v>Còn hàng</x:v>
      </x:c>
      <x:c r="I87" s="14" t="str">
        <x:v>DA002</x:v>
      </x:c>
      <x:c r="J87" s="14" t="str">
        <x:v>LSP014</x:v>
      </x:c>
    </x:row>
    <x:row r="88" ht="15" hidden="0" customHeight="1">
      <x:c r="A88" s="14" t="str">
        <x:v>TT5-21</x:v>
      </x:c>
      <x:c r="B88" s="18" t="n">
        <x:v>80.63</x:v>
      </x:c>
      <x:c r="C88" s="12" t="str">
        <x:v>Đông Nam</x:v>
      </x:c>
      <x:c r="D88" s="22" t="n">
        <x:v>22224406244</x:v>
      </x:c>
      <x:c r="E88" s="22" t="n">
        <x:v>20525394835</x:v>
      </x:c>
      <x:c r="F88" s="22" t="n">
        <x:v>20957508411</x:v>
      </x:c>
      <x:c r="G88" s="22" t="n">
        <x:v>21605678774</x:v>
      </x:c>
      <x:c r="H88" s="12" t="str">
        <x:v>Còn hàng</x:v>
      </x:c>
      <x:c r="I88" s="14" t="str">
        <x:v>DA002</x:v>
      </x:c>
      <x:c r="J88" s="14" t="str">
        <x:v>LSP014</x:v>
      </x:c>
    </x:row>
    <x:row r="89" ht="15" hidden="0" customHeight="1">
      <x:c r="A89" s="14" t="str">
        <x:v>TT5-22</x:v>
      </x:c>
      <x:c r="B89" s="18" t="n">
        <x:v>80.63</x:v>
      </x:c>
      <x:c r="C89" s="12" t="str">
        <x:v>Đông Nam</x:v>
      </x:c>
      <x:c r="D89" s="22" t="n">
        <x:v>22224406244</x:v>
      </x:c>
      <x:c r="E89" s="22"/>
      <x:c r="F89" s="22"/>
      <x:c r="G89" s="22"/>
      <x:c r="H89" s="12" t="str">
        <x:v>Đã bán</x:v>
      </x:c>
      <x:c r="I89" s="14" t="str">
        <x:v>DA002</x:v>
      </x:c>
      <x:c r="J89" s="14" t="str">
        <x:v>LSP014</x:v>
      </x:c>
    </x:row>
    <x:row r="90" ht="15" hidden="0" customHeight="1">
      <x:c r="A90" s="14" t="str">
        <x:v>TT5-23</x:v>
      </x:c>
      <x:c r="B90" s="18" t="n">
        <x:v>112.88</x:v>
      </x:c>
      <x:c r="C90" s="12" t="str">
        <x:v>Đông Nam</x:v>
      </x:c>
      <x:c r="D90" s="22" t="n">
        <x:v>31898279155</x:v>
      </x:c>
      <x:c r="E90" s="22" t="n">
        <x:v>29459719510</x:v>
      </x:c>
      <x:c r="F90" s="22" t="n">
        <x:v>30079924131</x:v>
      </x:c>
      <x:c r="G90" s="22" t="n">
        <x:v>31010231063</x:v>
      </x:c>
      <x:c r="H90" s="12" t="str">
        <x:v>Còn hàng</x:v>
      </x:c>
      <x:c r="I90" s="14" t="str">
        <x:v>DA002</x:v>
      </x:c>
      <x:c r="J90" s="14" t="str">
        <x:v>LSP014</x:v>
      </x:c>
    </x:row>
    <x:row r="91" ht="15" hidden="0" customHeight="1">
      <x:c r="A91" s="14" t="str">
        <x:v>TT7-1</x:v>
      </x:c>
      <x:c r="B91" s="18" t="n">
        <x:v>120.41</x:v>
      </x:c>
      <x:c r="C91" s="12" t="str">
        <x:v>Tây Nam</x:v>
      </x:c>
      <x:c r="D91" s="22" t="n">
        <x:v>34638856847</x:v>
      </x:c>
      <x:c r="E91" s="22" t="n">
        <x:v>31990785518</x:v>
      </x:c>
      <x:c r="F91" s="22" t="n">
        <x:v>32664275740</x:v>
      </x:c>
      <x:c r="G91" s="22" t="n">
        <x:v>33674511072</x:v>
      </x:c>
      <x:c r="H91" s="12" t="str">
        <x:v>Còn hàng</x:v>
      </x:c>
      <x:c r="I91" s="14" t="str">
        <x:v>DA002</x:v>
      </x:c>
      <x:c r="J91" s="14" t="str">
        <x:v>LSP014</x:v>
      </x:c>
    </x:row>
    <x:row r="92" ht="15" hidden="0" customHeight="1">
      <x:c r="A92" s="14" t="str">
        <x:v>TT7-2</x:v>
      </x:c>
      <x:c r="B92" s="18" t="n">
        <x:v>68.82</x:v>
      </x:c>
      <x:c r="C92" s="12" t="str">
        <x:v>Tây Nam</x:v>
      </x:c>
      <x:c r="D92" s="22" t="n">
        <x:v>17816313112</x:v>
      </x:c>
      <x:c r="E92" s="22"/>
      <x:c r="F92" s="22"/>
      <x:c r="G92" s="22"/>
      <x:c r="H92" s="12" t="str">
        <x:v>Đã bán</x:v>
      </x:c>
      <x:c r="I92" s="14" t="str">
        <x:v>DA002</x:v>
      </x:c>
      <x:c r="J92" s="14" t="str">
        <x:v>LSP014</x:v>
      </x:c>
    </x:row>
    <x:row r="93" ht="15" hidden="0" customHeight="1">
      <x:c r="A93" s="14" t="str">
        <x:v>TT7-3</x:v>
      </x:c>
      <x:c r="B93" s="18" t="n">
        <x:v>68.69</x:v>
      </x:c>
      <x:c r="C93" s="12" t="str">
        <x:v>Tây Nam</x:v>
      </x:c>
      <x:c r="D93" s="22" t="n">
        <x:v>17473568679</x:v>
      </x:c>
      <x:c r="E93" s="22" t="n">
        <x:v>16137749300</x:v>
      </x:c>
      <x:c r="F93" s="22" t="n">
        <x:v>16477491391</x:v>
      </x:c>
      <x:c r="G93" s="22" t="n">
        <x:v>16987104527</x:v>
      </x:c>
      <x:c r="H93" s="12" t="str">
        <x:v>Còn hàng</x:v>
      </x:c>
      <x:c r="I93" s="14" t="str">
        <x:v>DA002</x:v>
      </x:c>
      <x:c r="J93" s="14" t="str">
        <x:v>LSP014</x:v>
      </x:c>
    </x:row>
    <x:row r="94" ht="15" hidden="0" customHeight="1">
      <x:c r="A94" s="14" t="str">
        <x:v>TT7-4</x:v>
      </x:c>
      <x:c r="B94" s="18" t="n">
        <x:v>68.57</x:v>
      </x:c>
      <x:c r="C94" s="12" t="str">
        <x:v>Tây Nam</x:v>
      </x:c>
      <x:c r="D94" s="22" t="n">
        <x:v>17446287546</x:v>
      </x:c>
      <x:c r="E94" s="22" t="n">
        <x:v>16112553755</x:v>
      </x:c>
      <x:c r="F94" s="22" t="n">
        <x:v>16451765414</x:v>
      </x:c>
      <x:c r="G94" s="22" t="n">
        <x:v>16960582901</x:v>
      </x:c>
      <x:c r="H94" s="12" t="str">
        <x:v>Còn hàng</x:v>
      </x:c>
      <x:c r="I94" s="14" t="str">
        <x:v>DA002</x:v>
      </x:c>
      <x:c r="J94" s="14" t="str">
        <x:v>LSP014</x:v>
      </x:c>
    </x:row>
    <x:row r="95" ht="15" hidden="0" customHeight="1">
      <x:c r="A95" s="14" t="str">
        <x:v>TT7-5</x:v>
      </x:c>
      <x:c r="B95" s="18" t="n">
        <x:v>68.44</x:v>
      </x:c>
      <x:c r="C95" s="12" t="str">
        <x:v>Tây Nam</x:v>
      </x:c>
      <x:c r="D95" s="22" t="n">
        <x:v>17416732985</x:v>
      </x:c>
      <x:c r="E95" s="22" t="n">
        <x:v>16085258582</x:v>
      </x:c>
      <x:c r="F95" s="22" t="n">
        <x:v>16423895605</x:v>
      </x:c>
      <x:c r="G95" s="22" t="n">
        <x:v>16931851139</x:v>
      </x:c>
      <x:c r="H95" s="12" t="str">
        <x:v>Còn hàng</x:v>
      </x:c>
      <x:c r="I95" s="14" t="str">
        <x:v>DA002</x:v>
      </x:c>
      <x:c r="J95" s="14" t="str">
        <x:v>LSP014</x:v>
      </x:c>
    </x:row>
    <x:row r="96" ht="15" hidden="0" customHeight="1">
      <x:c r="A96" s="14" t="str">
        <x:v>TT7-6</x:v>
      </x:c>
      <x:c r="B96" s="18" t="n">
        <x:v>68.32</x:v>
      </x:c>
      <x:c r="C96" s="12" t="str">
        <x:v>Tây Nam</x:v>
      </x:c>
      <x:c r="D96" s="22" t="n">
        <x:v>17389451852</x:v>
      </x:c>
      <x:c r="E96" s="22" t="n">
        <x:v>16060063037</x:v>
      </x:c>
      <x:c r="F96" s="22" t="n">
        <x:v>16398169627</x:v>
      </x:c>
      <x:c r="G96" s="22" t="n">
        <x:v>16905329513</x:v>
      </x:c>
      <x:c r="H96" s="12" t="str">
        <x:v>Còn hàng</x:v>
      </x:c>
      <x:c r="I96" s="14" t="str">
        <x:v>DA002</x:v>
      </x:c>
      <x:c r="J96" s="14" t="str">
        <x:v>LSP014</x:v>
      </x:c>
    </x:row>
    <x:row r="97" ht="15" hidden="0" customHeight="1">
      <x:c r="A97" s="14" t="str">
        <x:v>TT7-7</x:v>
      </x:c>
      <x:c r="B97" s="18" t="n">
        <x:v>68.19</x:v>
      </x:c>
      <x:c r="C97" s="12" t="str">
        <x:v>Tây Nam</x:v>
      </x:c>
      <x:c r="D97" s="22" t="n">
        <x:v>17359897292</x:v>
      </x:c>
      <x:c r="E97" s="22" t="n">
        <x:v>16032767864</x:v>
      </x:c>
      <x:c r="F97" s="22" t="n">
        <x:v>16370299819</x:v>
      </x:c>
      <x:c r="G97" s="22" t="n">
        <x:v>16876597751</x:v>
      </x:c>
      <x:c r="H97" s="12" t="str">
        <x:v>Còn hàng</x:v>
      </x:c>
      <x:c r="I97" s="14" t="str">
        <x:v>DA002</x:v>
      </x:c>
      <x:c r="J97" s="14" t="str">
        <x:v>LSP014</x:v>
      </x:c>
    </x:row>
    <x:row r="98" ht="15" hidden="0" customHeight="1">
      <x:c r="A98" s="14" t="str">
        <x:v>TT7-8</x:v>
      </x:c>
      <x:c r="B98" s="18" t="n">
        <x:v>68.07</x:v>
      </x:c>
      <x:c r="C98" s="12" t="str">
        <x:v>Tây Nam</x:v>
      </x:c>
      <x:c r="D98" s="22" t="n">
        <x:v>17332616159</x:v>
      </x:c>
      <x:c r="E98" s="22" t="n">
        <x:v>16007572319</x:v>
      </x:c>
      <x:c r="F98" s="22" t="n">
        <x:v>16344573841</x:v>
      </x:c>
      <x:c r="G98" s="22" t="n">
        <x:v>16850076125</x:v>
      </x:c>
      <x:c r="H98" s="12" t="str">
        <x:v>Còn hàng</x:v>
      </x:c>
      <x:c r="I98" s="14" t="str">
        <x:v>DA002</x:v>
      </x:c>
      <x:c r="J98" s="14" t="str">
        <x:v>LSP014</x:v>
      </x:c>
    </x:row>
    <x:row r="99" ht="15" hidden="0" customHeight="1">
      <x:c r="A99" s="14" t="str">
        <x:v>TT7-9</x:v>
      </x:c>
      <x:c r="B99" s="18" t="n">
        <x:v>67.94</x:v>
      </x:c>
      <x:c r="C99" s="12" t="str">
        <x:v>Tây Nam</x:v>
      </x:c>
      <x:c r="D99" s="22" t="n">
        <x:v>17303061599</x:v>
      </x:c>
      <x:c r="E99" s="22"/>
      <x:c r="F99" s="22"/>
      <x:c r="G99" s="22"/>
      <x:c r="H99" s="12" t="str">
        <x:v>Đã bán</x:v>
      </x:c>
      <x:c r="I99" s="14" t="str">
        <x:v>DA002</x:v>
      </x:c>
      <x:c r="J99" s="14" t="str">
        <x:v>LSP014</x:v>
      </x:c>
    </x:row>
    <x:row r="100" ht="15" hidden="0" customHeight="1">
      <x:c r="A100" s="14" t="str">
        <x:v>TT7-10</x:v>
      </x:c>
      <x:c r="B100" s="18" t="n">
        <x:v>67.82</x:v>
      </x:c>
      <x:c r="C100" s="12" t="str">
        <x:v>Tây Nam</x:v>
      </x:c>
      <x:c r="D100" s="22" t="n">
        <x:v>17275780466</x:v>
      </x:c>
      <x:c r="E100" s="22" t="n">
        <x:v>15955081601</x:v>
      </x:c>
      <x:c r="F100" s="22" t="n">
        <x:v>16290978055</x:v>
      </x:c>
      <x:c r="G100" s="22" t="n">
        <x:v>16794822738</x:v>
      </x:c>
      <x:c r="H100" s="12" t="str">
        <x:v>Còn hàng</x:v>
      </x:c>
      <x:c r="I100" s="14" t="str">
        <x:v>DA002</x:v>
      </x:c>
      <x:c r="J100" s="14" t="str">
        <x:v>LSP014</x:v>
      </x:c>
    </x:row>
    <x:row r="101" ht="15" hidden="0" customHeight="1">
      <x:c r="A101" s="14" t="str">
        <x:v>TT7-11</x:v>
      </x:c>
      <x:c r="B101" s="18" t="n">
        <x:v>67.69</x:v>
      </x:c>
      <x:c r="C101" s="12" t="str">
        <x:v>Tây Nam</x:v>
      </x:c>
      <x:c r="D101" s="22" t="n">
        <x:v>17246225905</x:v>
      </x:c>
      <x:c r="E101" s="22" t="n">
        <x:v>15927786427</x:v>
      </x:c>
      <x:c r="F101" s="22" t="n">
        <x:v>16263108247</x:v>
      </x:c>
      <x:c r="G101" s="22" t="n">
        <x:v>16766090976</x:v>
      </x:c>
      <x:c r="H101" s="12" t="str">
        <x:v>Còn hàng</x:v>
      </x:c>
      <x:c r="I101" s="14" t="str">
        <x:v>DA002</x:v>
      </x:c>
      <x:c r="J101" s="14" t="str">
        <x:v>LSP014</x:v>
      </x:c>
    </x:row>
    <x:row r="102" ht="15" hidden="0" customHeight="1">
      <x:c r="A102" s="14" t="str">
        <x:v>TT7-12</x:v>
      </x:c>
      <x:c r="B102" s="18" t="n">
        <x:v>94.56</x:v>
      </x:c>
      <x:c r="C102" s="12" t="str">
        <x:v>Tây Nam</x:v>
      </x:c>
      <x:c r="D102" s="22" t="n">
        <x:v>23960489483</x:v>
      </x:c>
      <x:c r="E102" s="22" t="n">
        <x:v>22128757983</x:v>
      </x:c>
      <x:c r="F102" s="22" t="n">
        <x:v>22594626572</x:v>
      </x:c>
      <x:c r="G102" s="22" t="n">
        <x:v>23293429456</x:v>
      </x:c>
      <x:c r="H102" s="12" t="str">
        <x:v>Còn hàng</x:v>
      </x:c>
      <x:c r="I102" s="14" t="str">
        <x:v>DA002</x:v>
      </x:c>
      <x:c r="J102" s="14" t="str">
        <x:v>LSP014</x:v>
      </x:c>
    </x:row>
    <x:row r="103" ht="15" hidden="0" customHeight="1">
      <x:c r="A103" s="14" t="str">
        <x:v>TT9-2</x:v>
      </x:c>
      <x:c r="B103" s="18" t="n">
        <x:v>93.29</x:v>
      </x:c>
      <x:c r="C103" s="12" t="str">
        <x:v>Tây Nam</x:v>
      </x:c>
      <x:c r="D103" s="22" t="n">
        <x:v>23555076047</x:v>
      </x:c>
      <x:c r="E103" s="22" t="n">
        <x:v>21754337593</x:v>
      </x:c>
      <x:c r="F103" s="22" t="n">
        <x:v>22212323648</x:v>
      </x:c>
      <x:c r="G103" s="22" t="n">
        <x:v>22899302730</x:v>
      </x:c>
      <x:c r="H103" s="12" t="str">
        <x:v>Còn hàng</x:v>
      </x:c>
      <x:c r="I103" s="14" t="str">
        <x:v>DA002</x:v>
      </x:c>
      <x:c r="J103" s="14" t="str">
        <x:v>LSP014</x:v>
      </x:c>
    </x:row>
    <x:row r="104" ht="15" hidden="0" customHeight="1">
      <x:c r="A104" s="14" t="str">
        <x:v>TT9-3</x:v>
      </x:c>
      <x:c r="B104" s="18" t="n">
        <x:v>66.54</x:v>
      </x:c>
      <x:c r="C104" s="12" t="str">
        <x:v>Tây Nam</x:v>
      </x:c>
      <x:c r="D104" s="22" t="n">
        <x:v>16909454869</x:v>
      </x:c>
      <x:c r="E104" s="22"/>
      <x:c r="F104" s="22"/>
      <x:c r="G104" s="22"/>
      <x:c r="H104" s="12" t="str">
        <x:v>Đã bán</x:v>
      </x:c>
      <x:c r="I104" s="14" t="str">
        <x:v>DA002</x:v>
      </x:c>
      <x:c r="J104" s="14" t="str">
        <x:v>LSP014</x:v>
      </x:c>
    </x:row>
    <x:row r="105" ht="15" hidden="0" customHeight="1">
      <x:c r="A105" s="14" t="str">
        <x:v>TT9-4</x:v>
      </x:c>
      <x:c r="B105" s="18" t="n">
        <x:v>66.46</x:v>
      </x:c>
      <x:c r="C105" s="12" t="str">
        <x:v>Tây Nam</x:v>
      </x:c>
      <x:c r="D105" s="22" t="n">
        <x:v>16891358012</x:v>
      </x:c>
      <x:c r="E105" s="22" t="n">
        <x:v>15600047474</x:v>
      </x:c>
      <x:c r="F105" s="22" t="n">
        <x:v>15928469527</x:v>
      </x:c>
      <x:c r="G105" s="22" t="n">
        <x:v>16421102605</x:v>
      </x:c>
      <x:c r="H105" s="12" t="str">
        <x:v>Còn hàng</x:v>
      </x:c>
      <x:c r="I105" s="14" t="str">
        <x:v>DA002</x:v>
      </x:c>
      <x:c r="J105" s="14" t="str">
        <x:v>LSP014</x:v>
      </x:c>
    </x:row>
    <x:row r="106" ht="15" hidden="0" customHeight="1">
      <x:c r="A106" s="14" t="str">
        <x:v>TT9-5</x:v>
      </x:c>
      <x:c r="B106" s="18" t="n">
        <x:v>66.38</x:v>
      </x:c>
      <x:c r="C106" s="12" t="str">
        <x:v>Tây Nam</x:v>
      </x:c>
      <x:c r="D106" s="22" t="n">
        <x:v>16873261154</x:v>
      </x:c>
      <x:c r="E106" s="22" t="n">
        <x:v>15583334085</x:v>
      </x:c>
      <x:c r="F106" s="22" t="n">
        <x:v>15911404277</x:v>
      </x:c>
      <x:c r="G106" s="22" t="n">
        <x:v>16403509564</x:v>
      </x:c>
      <x:c r="H106" s="12" t="str">
        <x:v>Còn hàng</x:v>
      </x:c>
      <x:c r="I106" s="14" t="str">
        <x:v>DA002</x:v>
      </x:c>
      <x:c r="J106" s="14" t="str">
        <x:v>LSP014</x:v>
      </x:c>
    </x:row>
    <x:row r="107" ht="15" hidden="0" customHeight="1">
      <x:c r="A107" s="14" t="str">
        <x:v>TT9-6</x:v>
      </x:c>
      <x:c r="B107" s="18" t="n">
        <x:v>66.31</x:v>
      </x:c>
      <x:c r="C107" s="12" t="str">
        <x:v>Tây Nam</x:v>
      </x:c>
      <x:c r="D107" s="22" t="n">
        <x:v>16857426404</x:v>
      </x:c>
      <x:c r="E107" s="22" t="n">
        <x:v>15568709870</x:v>
      </x:c>
      <x:c r="F107" s="22" t="n">
        <x:v>15896472183</x:v>
      </x:c>
      <x:c r="G107" s="22" t="n">
        <x:v>16388115653</x:v>
      </x:c>
      <x:c r="H107" s="12" t="str">
        <x:v>Còn hàng</x:v>
      </x:c>
      <x:c r="I107" s="14" t="str">
        <x:v>DA002</x:v>
      </x:c>
      <x:c r="J107" s="14" t="str">
        <x:v>LSP014</x:v>
      </x:c>
    </x:row>
    <x:row r="108" ht="15" hidden="0" customHeight="1">
      <x:c r="A108" s="14" t="str">
        <x:v>TT9-7</x:v>
      </x:c>
      <x:c r="B108" s="18" t="n">
        <x:v>66.23</x:v>
      </x:c>
      <x:c r="C108" s="12" t="str">
        <x:v>Tây Nam</x:v>
      </x:c>
      <x:c r="D108" s="22" t="n">
        <x:v>16839329546</x:v>
      </x:c>
      <x:c r="E108" s="22" t="n">
        <x:v>15551996481</x:v>
      </x:c>
      <x:c r="F108" s="22" t="n">
        <x:v>15879406933</x:v>
      </x:c>
      <x:c r="G108" s="22" t="n">
        <x:v>16370522612</x:v>
      </x:c>
      <x:c r="H108" s="12" t="str">
        <x:v>Còn hàng</x:v>
      </x:c>
      <x:c r="I108" s="14" t="str">
        <x:v>DA002</x:v>
      </x:c>
      <x:c r="J108" s="14" t="str">
        <x:v>LSP014</x:v>
      </x:c>
    </x:row>
    <x:row r="109" ht="15" hidden="0" customHeight="1">
      <x:c r="A109" s="14" t="str">
        <x:v>TT9-8</x:v>
      </x:c>
      <x:c r="B109" s="18" t="n">
        <x:v>66.15</x:v>
      </x:c>
      <x:c r="C109" s="12" t="str">
        <x:v>Tây Nam</x:v>
      </x:c>
      <x:c r="D109" s="22" t="n">
        <x:v>16821232689</x:v>
      </x:c>
      <x:c r="E109" s="22" t="n">
        <x:v>15535283092</x:v>
      </x:c>
      <x:c r="F109" s="22" t="n">
        <x:v>15862341683</x:v>
      </x:c>
      <x:c r="G109" s="22" t="n">
        <x:v>16352929571</x:v>
      </x:c>
      <x:c r="H109" s="12" t="str">
        <x:v>Còn hàng</x:v>
      </x:c>
      <x:c r="I109" s="14" t="str">
        <x:v>DA002</x:v>
      </x:c>
      <x:c r="J109" s="14" t="str">
        <x:v>LSP014</x:v>
      </x:c>
    </x:row>
    <x:row r="110" ht="15" hidden="0" customHeight="1">
      <x:c r="A110" s="14" t="str">
        <x:v>TT9-9</x:v>
      </x:c>
      <x:c r="B110" s="18" t="n">
        <x:v>66.07</x:v>
      </x:c>
      <x:c r="C110" s="12" t="str">
        <x:v>Tây Nam</x:v>
      </x:c>
      <x:c r="D110" s="22" t="n">
        <x:v>16803135831</x:v>
      </x:c>
      <x:c r="E110" s="22"/>
      <x:c r="F110" s="22"/>
      <x:c r="G110" s="22"/>
      <x:c r="H110" s="12" t="str">
        <x:v>Đã bán</x:v>
      </x:c>
      <x:c r="I110" s="14" t="str">
        <x:v>DA002</x:v>
      </x:c>
      <x:c r="J110" s="14" t="str">
        <x:v>LSP014</x:v>
      </x:c>
    </x:row>
    <x:row r="111" ht="15" hidden="0" customHeight="1">
      <x:c r="A111" s="14" t="str">
        <x:v>TT9-10</x:v>
      </x:c>
      <x:c r="B111" s="18" t="n">
        <x:v>65.99</x:v>
      </x:c>
      <x:c r="C111" s="12" t="str">
        <x:v>Tây Nam</x:v>
      </x:c>
      <x:c r="D111" s="22" t="n">
        <x:v>16785038973</x:v>
      </x:c>
      <x:c r="E111" s="22"/>
      <x:c r="F111" s="22"/>
      <x:c r="G111" s="22"/>
      <x:c r="H111" s="12" t="str">
        <x:v>Đã bán</x:v>
      </x:c>
      <x:c r="I111" s="14" t="str">
        <x:v>DA002</x:v>
      </x:c>
      <x:c r="J111" s="14" t="str">
        <x:v>LSP014</x:v>
      </x:c>
    </x:row>
    <x:row r="112" ht="15" hidden="0" customHeight="1">
      <x:c r="A112" s="14" t="str">
        <x:v>TT9-11</x:v>
      </x:c>
      <x:c r="B112" s="18" t="n">
        <x:v>65.92</x:v>
      </x:c>
      <x:c r="C112" s="12" t="str">
        <x:v>Tây Nam</x:v>
      </x:c>
      <x:c r="D112" s="22" t="n">
        <x:v>16769204223</x:v>
      </x:c>
      <x:c r="E112" s="22" t="n">
        <x:v>15487232099</x:v>
      </x:c>
      <x:c r="F112" s="22" t="n">
        <x:v>15813279090</x:v>
      </x:c>
      <x:c r="G112" s="22" t="n">
        <x:v>16302349578</x:v>
      </x:c>
      <x:c r="H112" s="12" t="str">
        <x:v>Còn hàng</x:v>
      </x:c>
      <x:c r="I112" s="14" t="str">
        <x:v>DA002</x:v>
      </x:c>
      <x:c r="J112" s="14" t="str">
        <x:v>LSP014</x:v>
      </x:c>
    </x:row>
    <x:row r="113" ht="15" hidden="0" customHeight="1">
      <x:c r="A113" s="14" t="str">
        <x:v>TT9-12</x:v>
      </x:c>
      <x:c r="B113" s="18" t="n">
        <x:v>65.84</x:v>
      </x:c>
      <x:c r="C113" s="12" t="str">
        <x:v>Tây Nam</x:v>
      </x:c>
      <x:c r="D113" s="22" t="n">
        <x:v>16751107365</x:v>
      </x:c>
      <x:c r="E113" s="22" t="n">
        <x:v>15470518710</x:v>
      </x:c>
      <x:c r="F113" s="22" t="n">
        <x:v>15796213840</x:v>
      </x:c>
      <x:c r="G113" s="22" t="n">
        <x:v>16284756536</x:v>
      </x:c>
      <x:c r="H113" s="12" t="str">
        <x:v>Còn hàng</x:v>
      </x:c>
      <x:c r="I113" s="14" t="str">
        <x:v>DA002</x:v>
      </x:c>
      <x:c r="J113" s="14" t="str">
        <x:v>LSP014</x:v>
      </x:c>
    </x:row>
    <x:row r="114" ht="15" hidden="0" customHeight="1">
      <x:c r="A114" s="14" t="str">
        <x:v>TT9-13</x:v>
      </x:c>
      <x:c r="B114" s="18" t="n">
        <x:v>92.04</x:v>
      </x:c>
      <x:c r="C114" s="12" t="str">
        <x:v>Tây Nam</x:v>
      </x:c>
      <x:c r="D114" s="22" t="n">
        <x:v>23264366502</x:v>
      </x:c>
      <x:c r="E114" s="22" t="n">
        <x:v>21485852211</x:v>
      </x:c>
      <x:c r="F114" s="22" t="n">
        <x:v>21938185942</x:v>
      </x:c>
      <x:c r="G114" s="22" t="n">
        <x:v>22616686538</x:v>
      </x:c>
      <x:c r="H114" s="12" t="str">
        <x:v>Còn hàng</x:v>
      </x:c>
      <x:c r="I114" s="14" t="str">
        <x:v>DA002</x:v>
      </x:c>
      <x:c r="J114" s="14" t="str">
        <x:v>LSP014</x:v>
      </x:c>
    </x:row>
    <x:row r="115" ht="15" hidden="0" customHeight="1">
      <x:c r="A115" s="14" t="str">
        <x:v>HH-A-28-15</x:v>
      </x:c>
      <x:c r="B115" s="18" t="n">
        <x:v>59.2</x:v>
      </x:c>
      <x:c r="C115" s="12" t="str">
        <x:v>ĐB</x:v>
      </x:c>
      <x:c r="D115" s="22"/>
      <x:c r="E115" s="22" t="n">
        <x:v>9206000000</x:v>
      </x:c>
      <x:c r="F115" s="22" t="n">
        <x:v>10594000000</x:v>
      </x:c>
      <x:c r="G115" s="22" t="n">
        <x:v>11534000000</x:v>
      </x:c>
      <x:c r="H115" s="12" t="str">
        <x:v>Check Admin</x:v>
      </x:c>
      <x:c r="I115" s="14" t="str">
        <x:v>DA003</x:v>
      </x:c>
      <x:c r="J115" s="14" t="str">
        <x:v>LSP002</x:v>
      </x:c>
    </x:row>
    <x:row r="116" ht="15" hidden="0" customHeight="1">
      <x:c r="A116" s="14" t="str">
        <x:v>HH-A-36-19</x:v>
      </x:c>
      <x:c r="B116" s="18" t="n">
        <x:v>56.6</x:v>
      </x:c>
      <x:c r="C116" s="12" t="str">
        <x:v>TN</x:v>
      </x:c>
      <x:c r="D116" s="22"/>
      <x:c r="E116" s="22" t="n">
        <x:v>8668000000</x:v>
      </x:c>
      <x:c r="F116" s="22" t="n">
        <x:v>9976000000</x:v>
      </x:c>
      <x:c r="G116" s="22" t="n">
        <x:v>10864000000</x:v>
      </x:c>
      <x:c r="H116" s="12" t="str">
        <x:v>Check Admin</x:v>
      </x:c>
      <x:c r="I116" s="14" t="str">
        <x:v>DA003</x:v>
      </x:c>
      <x:c r="J116" s="14" t="str">
        <x:v>LSP002</x:v>
      </x:c>
    </x:row>
    <x:row r="117" ht="15" hidden="0" customHeight="1">
      <x:c r="A117" s="14" t="str">
        <x:v>HH-A-23-19</x:v>
      </x:c>
      <x:c r="B117" s="18" t="n">
        <x:v>77.7</x:v>
      </x:c>
      <x:c r="C117" s="12" t="str">
        <x:v>TN</x:v>
      </x:c>
      <x:c r="D117" s="22"/>
      <x:c r="E117" s="22" t="n">
        <x:v>12149000000</x:v>
      </x:c>
      <x:c r="F117" s="22" t="n">
        <x:v>13981000000</x:v>
      </x:c>
      <x:c r="G117" s="22" t="n">
        <x:v>15225000000</x:v>
      </x:c>
      <x:c r="H117" s="12" t="str">
        <x:v>Check Admin</x:v>
      </x:c>
      <x:c r="I117" s="14" t="str">
        <x:v>DA003</x:v>
      </x:c>
      <x:c r="J117" s="14" t="str">
        <x:v>LSP004</x:v>
      </x:c>
    </x:row>
    <x:row r="118" ht="15" hidden="0" customHeight="1">
      <x:c r="A118" s="14" t="str">
        <x:v>HH-A-29-20</x:v>
      </x:c>
      <x:c r="B118" s="18" t="n">
        <x:v>84.7</x:v>
      </x:c>
      <x:c r="C118" s="12" t="str">
        <x:v>TN</x:v>
      </x:c>
      <x:c r="D118" s="22"/>
      <x:c r="E118" s="22" t="n">
        <x:v>13138000000</x:v>
      </x:c>
      <x:c r="F118" s="22" t="n">
        <x:v>15120000000</x:v>
      </x:c>
      <x:c r="G118" s="22" t="n">
        <x:v>16462000000</x:v>
      </x:c>
      <x:c r="H118" s="12" t="str">
        <x:v>Check Admin</x:v>
      </x:c>
      <x:c r="I118" s="14" t="str">
        <x:v>DA003</x:v>
      </x:c>
      <x:c r="J118" s="14" t="str">
        <x:v>LSP004</x:v>
      </x:c>
    </x:row>
    <x:row r="119" ht="15" hidden="0" customHeight="1">
      <x:c r="A119" s="14" t="str">
        <x:v>HH-A-30-15A</x:v>
      </x:c>
      <x:c r="B119" s="18" t="n">
        <x:v>81.4</x:v>
      </x:c>
      <x:c r="C119" s="12" t="str">
        <x:v>ĐB</x:v>
      </x:c>
      <x:c r="D119" s="22"/>
      <x:c r="E119" s="22" t="n">
        <x:v>12365000000</x:v>
      </x:c>
      <x:c r="F119" s="22" t="n">
        <x:v>14231000000</x:v>
      </x:c>
      <x:c r="G119" s="22" t="n">
        <x:v>15497000000</x:v>
      </x:c>
      <x:c r="H119" s="12" t="str">
        <x:v>Check Admin</x:v>
      </x:c>
      <x:c r="I119" s="14" t="str">
        <x:v>DA003</x:v>
      </x:c>
      <x:c r="J119" s="14" t="str">
        <x:v>LSP004</x:v>
      </x:c>
    </x:row>
    <x:row r="120" ht="15" hidden="0" customHeight="1">
      <x:c r="A120" s="14" t="str">
        <x:v>HH-A-37-12A</x:v>
      </x:c>
      <x:c r="B120" s="18" t="n">
        <x:v>79.2</x:v>
      </x:c>
      <x:c r="C120" s="12" t="str">
        <x:v>ĐB</x:v>
      </x:c>
      <x:c r="D120" s="22"/>
      <x:c r="E120" s="22" t="n">
        <x:v>11760000000</x:v>
      </x:c>
      <x:c r="F120" s="22" t="n">
        <x:v>13534000000</x:v>
      </x:c>
      <x:c r="G120" s="22" t="n">
        <x:v>14739000000</x:v>
      </x:c>
      <x:c r="H120" s="12" t="str">
        <x:v>Check Admin</x:v>
      </x:c>
      <x:c r="I120" s="14" t="str">
        <x:v>DA003</x:v>
      </x:c>
      <x:c r="J120" s="14" t="str">
        <x:v>LSP004</x:v>
      </x:c>
    </x:row>
    <x:row r="121" ht="15" hidden="0" customHeight="1">
      <x:c r="A121" s="14" t="str">
        <x:v>HH-A-41-12</x:v>
      </x:c>
      <x:c r="B121" s="18" t="n">
        <x:v>79.2</x:v>
      </x:c>
      <x:c r="C121" s="12" t="str">
        <x:v>ĐB</x:v>
      </x:c>
      <x:c r="D121" s="22"/>
      <x:c r="E121" s="22" t="n">
        <x:v>11602000000</x:v>
      </x:c>
      <x:c r="F121" s="22" t="n">
        <x:v>11602000000</x:v>
      </x:c>
      <x:c r="G121" s="22" t="n">
        <x:v>14538000000</x:v>
      </x:c>
      <x:c r="H121" s="12" t="str">
        <x:v>Check Admin</x:v>
      </x:c>
      <x:c r="I121" s="14" t="str">
        <x:v>DA003</x:v>
      </x:c>
      <x:c r="J121" s="14" t="str">
        <x:v>LSP004</x:v>
      </x:c>
    </x:row>
    <x:row r="122" ht="15" hidden="0" customHeight="1">
      <x:c r="A122" s="14" t="str">
        <x:v>HH-A-42-12A</x:v>
      </x:c>
      <x:c r="B122" s="18" t="n">
        <x:v>81.9</x:v>
      </x:c>
      <x:c r="C122" s="12" t="str">
        <x:v>ĐB</x:v>
      </x:c>
      <x:c r="D122" s="22"/>
      <x:c r="E122" s="22" t="n">
        <x:v>11841000000</x:v>
      </x:c>
      <x:c r="F122" s="22" t="n">
        <x:v>13628000000</x:v>
      </x:c>
      <x:c r="G122" s="22" t="n">
        <x:v>14838000000</x:v>
      </x:c>
      <x:c r="H122" s="12" t="str">
        <x:v>Check Admin</x:v>
      </x:c>
      <x:c r="I122" s="14" t="str">
        <x:v>DA003</x:v>
      </x:c>
      <x:c r="J122" s="14" t="str">
        <x:v>LSP004</x:v>
      </x:c>
    </x:row>
    <x:row r="123" ht="15" hidden="0" customHeight="1">
      <x:c r="A123" s="14" t="str">
        <x:v>HH-A-43-19</x:v>
      </x:c>
      <x:c r="B123" s="18" t="n">
        <x:v>84.9</x:v>
      </x:c>
      <x:c r="C123" s="12" t="str">
        <x:v>TN</x:v>
      </x:c>
      <x:c r="D123" s="22"/>
      <x:c r="E123" s="22" t="n">
        <x:v>12350000000</x:v>
      </x:c>
      <x:c r="F123" s="22" t="n">
        <x:v>14214000000</x:v>
      </x:c>
      <x:c r="G123" s="22" t="n">
        <x:v>15476000000</x:v>
      </x:c>
      <x:c r="H123" s="12" t="str">
        <x:v>Check Admin</x:v>
      </x:c>
      <x:c r="I123" s="14" t="str">
        <x:v>DA003</x:v>
      </x:c>
      <x:c r="J123" s="14" t="str">
        <x:v>LSP004</x:v>
      </x:c>
    </x:row>
    <x:row r="124" ht="15" hidden="0" customHeight="1">
      <x:c r="A124" s="14" t="str">
        <x:v>HH-A-28-03</x:v>
      </x:c>
      <x:c r="B124" s="18" t="n">
        <x:v>87.4</x:v>
      </x:c>
      <x:c r="C124" s="12" t="str">
        <x:v>TB</x:v>
      </x:c>
      <x:c r="D124" s="22"/>
      <x:c r="E124" s="22" t="n">
        <x:v>12478000000</x:v>
      </x:c>
      <x:c r="F124" s="22" t="n">
        <x:v>14362000000</x:v>
      </x:c>
      <x:c r="G124" s="22" t="n">
        <x:v>15641000000</x:v>
      </x:c>
      <x:c r="H124" s="12" t="str">
        <x:v>Check Admin</x:v>
      </x:c>
      <x:c r="I124" s="14" t="str">
        <x:v>DA003</x:v>
      </x:c>
      <x:c r="J124" s="14" t="str">
        <x:v>LSP005</x:v>
      </x:c>
    </x:row>
    <x:row r="125" ht="15" hidden="0" customHeight="1">
      <x:c r="A125" s="14" t="str">
        <x:v>HH-A-37-10</x:v>
      </x:c>
      <x:c r="B125" s="18" t="n">
        <x:v>86.2</x:v>
      </x:c>
      <x:c r="C125" s="12" t="str">
        <x:v>ĐN</x:v>
      </x:c>
      <x:c r="D125" s="22"/>
      <x:c r="E125" s="22" t="n">
        <x:v>12193000000</x:v>
      </x:c>
      <x:c r="F125" s="22" t="n">
        <x:v>14034000000</x:v>
      </x:c>
      <x:c r="G125" s="22" t="n">
        <x:v>15281000000</x:v>
      </x:c>
      <x:c r="H125" s="12" t="str">
        <x:v>Check Admin</x:v>
      </x:c>
      <x:c r="I125" s="14" t="str">
        <x:v>DA003</x:v>
      </x:c>
      <x:c r="J125" s="14" t="str">
        <x:v>LSP005</x:v>
      </x:c>
    </x:row>
    <x:row r="126" ht="15" hidden="0" customHeight="1">
      <x:c r="A126" s="14" t="str">
        <x:v>HH-A-09-23</x:v>
      </x:c>
      <x:c r="B126" s="18" t="n">
        <x:v>141.7</x:v>
      </x:c>
      <x:c r="C126" s="12" t="str">
        <x:v>TB- TN</x:v>
      </x:c>
      <x:c r="D126" s="22"/>
      <x:c r="E126" s="22" t="n">
        <x:v>20058000000</x:v>
      </x:c>
      <x:c r="F126" s="22" t="n">
        <x:v>23087000000</x:v>
      </x:c>
      <x:c r="G126" s="22" t="n">
        <x:v>25137000000</x:v>
      </x:c>
      <x:c r="H126" s="12" t="str">
        <x:v>Check Admin</x:v>
      </x:c>
      <x:c r="I126" s="14" t="str">
        <x:v>DA003</x:v>
      </x:c>
      <x:c r="J126" s="14" t="str">
        <x:v>LSP009</x:v>
      </x:c>
    </x:row>
    <x:row r="127" ht="15" hidden="0" customHeight="1">
      <x:c r="A127" s="14" t="str">
        <x:v>HH-A-44-06</x:v>
      </x:c>
      <x:c r="B127" s="18" t="n">
        <x:v>132.7</x:v>
      </x:c>
      <x:c r="C127" s="12" t="str">
        <x:v>ĐB - TB</x:v>
      </x:c>
      <x:c r="D127" s="22"/>
      <x:c r="E127" s="22" t="n">
        <x:v>19271000000</x:v>
      </x:c>
      <x:c r="F127" s="22" t="n">
        <x:v>22179000000</x:v>
      </x:c>
      <x:c r="G127" s="22" t="n">
        <x:v>24148000000</x:v>
      </x:c>
      <x:c r="H127" s="12" t="str">
        <x:v>Check Admin</x:v>
      </x:c>
      <x:c r="I127" s="14" t="str">
        <x:v>DA003</x:v>
      </x:c>
      <x:c r="J127" s="14" t="str">
        <x:v>LSP009</x:v>
      </x:c>
    </x:row>
    <x:row r="128" ht="15" hidden="0" customHeight="1">
      <x:c r="A128" s="14" t="str">
        <x:v>HH-B-26-15</x:v>
      </x:c>
      <x:c r="B128" s="18" t="n">
        <x:v>101.7</x:v>
      </x:c>
      <x:c r="C128" s="12" t="str">
        <x:v>TB - TN</x:v>
      </x:c>
      <x:c r="D128" s="22"/>
      <x:c r="E128" s="22" t="n">
        <x:v>16253000000</x:v>
      </x:c>
      <x:c r="F128" s="22" t="n">
        <x:v>18704000000</x:v>
      </x:c>
      <x:c r="G128" s="22" t="n">
        <x:v>20369000000</x:v>
      </x:c>
      <x:c r="H128" s="12" t="str">
        <x:v>Check Admin</x:v>
      </x:c>
      <x:c r="I128" s="14" t="str">
        <x:v>DA003</x:v>
      </x:c>
      <x:c r="J128" s="14" t="str">
        <x:v>LSP007</x:v>
      </x:c>
    </x:row>
    <x:row r="129" ht="15" hidden="0" customHeight="1">
      <x:c r="A129" s="14" t="str">
        <x:v>HH-B-29-11</x:v>
      </x:c>
      <x:c r="B129" s="18" t="n">
        <x:v>76.1</x:v>
      </x:c>
      <x:c r="C129" s="12" t="str">
        <x:v>ĐN</x:v>
      </x:c>
      <x:c r="D129" s="22"/>
      <x:c r="E129" s="22" t="n">
        <x:v>12423000000</x:v>
      </x:c>
      <x:c r="F129" s="22" t="n">
        <x:v>14296000000</x:v>
      </x:c>
      <x:c r="G129" s="22" t="n">
        <x:v>15564000000</x:v>
      </x:c>
      <x:c r="H129" s="12" t="str">
        <x:v>Check Admin</x:v>
      </x:c>
      <x:c r="I129" s="14" t="str">
        <x:v>DA003</x:v>
      </x:c>
      <x:c r="J129" s="14" t="str">
        <x:v>LSP004</x:v>
      </x:c>
    </x:row>
    <x:row r="130" ht="15" hidden="0" customHeight="1">
      <x:c r="A130" s="14" t="str">
        <x:v>HH-B-12-08A</x:v>
      </x:c>
      <x:c r="B130" s="18" t="n">
        <x:v>47.9</x:v>
      </x:c>
      <x:c r="C130" s="12" t="str">
        <x:v>ĐB</x:v>
      </x:c>
      <x:c r="D130" s="22"/>
      <x:c r="E130" s="22" t="n">
        <x:v>6676000000</x:v>
      </x:c>
      <x:c r="F130" s="22" t="n">
        <x:v>7684000000</x:v>
      </x:c>
      <x:c r="G130" s="22" t="n">
        <x:v>8367000000</x:v>
      </x:c>
      <x:c r="H130" s="12" t="str">
        <x:v>Check Admin</x:v>
      </x:c>
      <x:c r="I130" s="14" t="str">
        <x:v>DA003</x:v>
      </x:c>
      <x:c r="J130" s="14" t="str">
        <x:v>LSP002</x:v>
      </x:c>
    </x:row>
    <x:row r="131" ht="15" hidden="0" customHeight="1">
      <x:c r="A131" s="14" t="str">
        <x:v>HH-B-18-06</x:v>
      </x:c>
      <x:c r="B131" s="18" t="n">
        <x:v>48</x:v>
      </x:c>
      <x:c r="C131" s="12" t="str">
        <x:v>ĐB</x:v>
      </x:c>
      <x:c r="D131" s="22"/>
      <x:c r="E131" s="22" t="n">
        <x:v>7120000000</x:v>
      </x:c>
      <x:c r="F131" s="22" t="n">
        <x:v>8195000000</x:v>
      </x:c>
      <x:c r="G131" s="22" t="n">
        <x:v>8922000000</x:v>
      </x:c>
      <x:c r="H131" s="12" t="str">
        <x:v>Check Admin</x:v>
      </x:c>
      <x:c r="I131" s="14" t="str">
        <x:v>DA003</x:v>
      </x:c>
      <x:c r="J131" s="14" t="str">
        <x:v>LSP002</x:v>
      </x:c>
    </x:row>
    <x:row r="132" ht="15" hidden="0" customHeight="1">
      <x:c r="A132" s="14" t="str">
        <x:v>HH-B-22-23</x:v>
      </x:c>
      <x:c r="B132" s="18" t="n">
        <x:v>47.9</x:v>
      </x:c>
      <x:c r="C132" s="12" t="str">
        <x:v>TN</x:v>
      </x:c>
      <x:c r="D132" s="22"/>
      <x:c r="E132" s="22" t="n">
        <x:v>7683000000</x:v>
      </x:c>
      <x:c r="F132" s="22" t="n">
        <x:v>8841000000</x:v>
      </x:c>
      <x:c r="G132" s="22" t="n">
        <x:v>9626000000</x:v>
      </x:c>
      <x:c r="H132" s="12" t="str">
        <x:v>Check Admin</x:v>
      </x:c>
      <x:c r="I132" s="14" t="str">
        <x:v>DA003</x:v>
      </x:c>
      <x:c r="J132" s="14" t="str">
        <x:v>LSP002</x:v>
      </x:c>
    </x:row>
    <x:row r="133" ht="15" hidden="0" customHeight="1">
      <x:c r="A133" s="14" t="str">
        <x:v>HH-B-23-25</x:v>
      </x:c>
      <x:c r="B133" s="18" t="n">
        <x:v>48.5</x:v>
      </x:c>
      <x:c r="C133" s="12" t="str">
        <x:v>TN</x:v>
      </x:c>
      <x:c r="D133" s="22"/>
      <x:c r="E133" s="22" t="n">
        <x:v>7645000000</x:v>
      </x:c>
      <x:c r="F133" s="22" t="n">
        <x:v>8798000000</x:v>
      </x:c>
      <x:c r="G133" s="22" t="n">
        <x:v>9579000000</x:v>
      </x:c>
      <x:c r="H133" s="12" t="str">
        <x:v>Check Admin</x:v>
      </x:c>
      <x:c r="I133" s="14" t="str">
        <x:v>DA003</x:v>
      </x:c>
      <x:c r="J133" s="14" t="str">
        <x:v>LSP002</x:v>
      </x:c>
    </x:row>
    <x:row r="134" ht="15" hidden="0" customHeight="1">
      <x:c r="A134" s="14" t="str">
        <x:v>HH-B-24-08A</x:v>
      </x:c>
      <x:c r="B134" s="18" t="n">
        <x:v>47.9</x:v>
      </x:c>
      <x:c r="C134" s="12" t="str">
        <x:v>ĐB</x:v>
      </x:c>
      <x:c r="D134" s="22"/>
      <x:c r="E134" s="22" t="n">
        <x:v>7260000000</x:v>
      </x:c>
      <x:c r="F134" s="22" t="n">
        <x:v>8355000000</x:v>
      </x:c>
      <x:c r="G134" s="22" t="n">
        <x:v>9099000000</x:v>
      </x:c>
      <x:c r="H134" s="12" t="str">
        <x:v>Check Admin</x:v>
      </x:c>
      <x:c r="I134" s="14" t="str">
        <x:v>DA003</x:v>
      </x:c>
      <x:c r="J134" s="14" t="str">
        <x:v>LSP002</x:v>
      </x:c>
    </x:row>
    <x:row r="135" ht="15" hidden="0" customHeight="1">
      <x:c r="A135" s="14" t="str">
        <x:v>HH-B-29-05</x:v>
      </x:c>
      <x:c r="B135" s="18" t="n">
        <x:v>47.7</x:v>
      </x:c>
      <x:c r="C135" s="12" t="str">
        <x:v>ĐB</x:v>
      </x:c>
      <x:c r="D135" s="22"/>
      <x:c r="E135" s="22" t="n">
        <x:v>7236000000</x:v>
      </x:c>
      <x:c r="F135" s="22" t="n">
        <x:v>8328000000</x:v>
      </x:c>
      <x:c r="G135" s="22" t="n">
        <x:v>9068000000</x:v>
      </x:c>
      <x:c r="H135" s="12" t="str">
        <x:v>Check Admin</x:v>
      </x:c>
      <x:c r="I135" s="14" t="str">
        <x:v>DA003</x:v>
      </x:c>
      <x:c r="J135" s="14" t="str">
        <x:v>LSP002</x:v>
      </x:c>
    </x:row>
    <x:row r="136" ht="15" hidden="0" customHeight="1">
      <x:c r="A136" s="14" t="str">
        <x:v>HH-B-30-12</x:v>
      </x:c>
      <x:c r="B136" s="18" t="n">
        <x:v>52</x:v>
      </x:c>
      <x:c r="C136" s="12" t="str">
        <x:v>ĐN</x:v>
      </x:c>
      <x:c r="D136" s="22"/>
      <x:c r="E136" s="22" t="n">
        <x:v>8638000000</x:v>
      </x:c>
      <x:c r="F136" s="22" t="n">
        <x:v>9940000000</x:v>
      </x:c>
      <x:c r="G136" s="22" t="n">
        <x:v>10822000000</x:v>
      </x:c>
      <x:c r="H136" s="12" t="str">
        <x:v>Check Admin</x:v>
      </x:c>
      <x:c r="I136" s="14" t="str">
        <x:v>DA003</x:v>
      </x:c>
      <x:c r="J136" s="14" t="str">
        <x:v>LSP002</x:v>
      </x:c>
    </x:row>
    <x:row r="137" ht="15" hidden="0" customHeight="1">
      <x:c r="A137" s="14" t="str">
        <x:v>HH-B-30-21</x:v>
      </x:c>
      <x:c r="B137" s="18" t="n">
        <x:v>48.5</x:v>
      </x:c>
      <x:c r="C137" s="12" t="str">
        <x:v>TN</x:v>
      </x:c>
      <x:c r="D137" s="22"/>
      <x:c r="E137" s="22" t="n">
        <x:v>7677000000</x:v>
      </x:c>
      <x:c r="F137" s="22" t="n">
        <x:v>8834000000</x:v>
      </x:c>
      <x:c r="G137" s="22" t="n">
        <x:v>9618000000</x:v>
      </x:c>
      <x:c r="H137" s="12" t="str">
        <x:v>Check Admin</x:v>
      </x:c>
      <x:c r="I137" s="14" t="str">
        <x:v>DA003</x:v>
      </x:c>
      <x:c r="J137" s="14" t="str">
        <x:v>LSP002</x:v>
      </x:c>
    </x:row>
    <x:row r="138" ht="15" hidden="0" customHeight="1">
      <x:c r="A138" s="14" t="str">
        <x:v>HH-B-34-12</x:v>
      </x:c>
      <x:c r="B138" s="18" t="n">
        <x:v>52</x:v>
      </x:c>
      <x:c r="C138" s="12" t="str">
        <x:v>ĐN</x:v>
      </x:c>
      <x:c r="D138" s="22"/>
      <x:c r="E138" s="22" t="n">
        <x:v>8386000000</x:v>
      </x:c>
      <x:c r="F138" s="22" t="n">
        <x:v>9651000000</x:v>
      </x:c>
      <x:c r="G138" s="22" t="n">
        <x:v>10507000000</x:v>
      </x:c>
      <x:c r="H138" s="12" t="str">
        <x:v>Check Admin</x:v>
      </x:c>
      <x:c r="I138" s="14" t="str">
        <x:v>DA003</x:v>
      </x:c>
      <x:c r="J138" s="14" t="str">
        <x:v>LSP002</x:v>
      </x:c>
    </x:row>
    <x:row r="139" ht="15" hidden="0" customHeight="1">
      <x:c r="A139" s="14" t="str">
        <x:v>HH-B-35-23</x:v>
      </x:c>
      <x:c r="B139" s="18" t="n">
        <x:v>48.2</x:v>
      </x:c>
      <x:c r="C139" s="12" t="str">
        <x:v>TN</x:v>
      </x:c>
      <x:c r="D139" s="22"/>
      <x:c r="E139" s="22" t="n">
        <x:v>7481000000</x:v>
      </x:c>
      <x:c r="F139" s="22" t="n">
        <x:v>8609000000</x:v>
      </x:c>
      <x:c r="G139" s="22" t="n">
        <x:v>9373000000</x:v>
      </x:c>
      <x:c r="H139" s="12" t="str">
        <x:v>Check Admin</x:v>
      </x:c>
      <x:c r="I139" s="14" t="str">
        <x:v>DA003</x:v>
      </x:c>
      <x:c r="J139" s="14" t="str">
        <x:v>LSP002</x:v>
      </x:c>
    </x:row>
    <x:row r="140" ht="15" hidden="0" customHeight="1">
      <x:c r="A140" s="14" t="str">
        <x:v>HH-B-36-02</x:v>
      </x:c>
      <x:c r="B140" s="18" t="n">
        <x:v>49.6</x:v>
      </x:c>
      <x:c r="C140" s="12" t="str">
        <x:v>ĐB</x:v>
      </x:c>
      <x:c r="D140" s="22"/>
      <x:c r="E140" s="22" t="n">
        <x:v>7225000000</x:v>
      </x:c>
      <x:c r="F140" s="22" t="n">
        <x:v>8315000000</x:v>
      </x:c>
      <x:c r="G140" s="22" t="n">
        <x:v>9053000000</x:v>
      </x:c>
      <x:c r="H140" s="12" t="str">
        <x:v>Check Admin</x:v>
      </x:c>
      <x:c r="I140" s="14" t="str">
        <x:v>DA003</x:v>
      </x:c>
      <x:c r="J140" s="14" t="str">
        <x:v>LSP002</x:v>
      </x:c>
    </x:row>
    <x:row r="141" ht="15" hidden="0" customHeight="1">
      <x:c r="A141" s="14" t="str">
        <x:v>HH-B-36-21</x:v>
      </x:c>
      <x:c r="B141" s="18" t="n">
        <x:v>48.7</x:v>
      </x:c>
      <x:c r="C141" s="12" t="str">
        <x:v>TN</x:v>
      </x:c>
      <x:c r="D141" s="22"/>
      <x:c r="E141" s="22" t="n">
        <x:v>7444000000</x:v>
      </x:c>
      <x:c r="F141" s="22" t="n">
        <x:v>8567000000</x:v>
      </x:c>
      <x:c r="G141" s="22" t="n">
        <x:v>9327000000</x:v>
      </x:c>
      <x:c r="H141" s="12" t="str">
        <x:v>Check Admin</x:v>
      </x:c>
      <x:c r="I141" s="14" t="str">
        <x:v>DA003</x:v>
      </x:c>
      <x:c r="J141" s="14" t="str">
        <x:v>LSP002</x:v>
      </x:c>
    </x:row>
    <x:row r="142" ht="15" hidden="0" customHeight="1">
      <x:c r="A142" s="14" t="str">
        <x:v>HH-B-37-25</x:v>
      </x:c>
      <x:c r="B142" s="18" t="n">
        <x:v>48.5</x:v>
      </x:c>
      <x:c r="C142" s="12" t="str">
        <x:v>TN</x:v>
      </x:c>
      <x:c r="D142" s="22"/>
      <x:c r="E142" s="22" t="n">
        <x:v>7229000000</x:v>
      </x:c>
      <x:c r="F142" s="22" t="n">
        <x:v>8320000000</x:v>
      </x:c>
      <x:c r="G142" s="22" t="n">
        <x:v>9059000000</x:v>
      </x:c>
      <x:c r="H142" s="12" t="str">
        <x:v>Check Admin</x:v>
      </x:c>
      <x:c r="I142" s="14" t="str">
        <x:v>DA003</x:v>
      </x:c>
      <x:c r="J142" s="14" t="str">
        <x:v>LSP002</x:v>
      </x:c>
    </x:row>
    <x:row r="143" ht="15" hidden="0" customHeight="1">
      <x:c r="A143" s="14" t="str">
        <x:v>HH-B-38-22</x:v>
      </x:c>
      <x:c r="B143" s="18" t="n">
        <x:v>48.2</x:v>
      </x:c>
      <x:c r="C143" s="12" t="str">
        <x:v>TN</x:v>
      </x:c>
      <x:c r="D143" s="22"/>
      <x:c r="E143" s="22" t="n">
        <x:v>7272000000</x:v>
      </x:c>
      <x:c r="F143" s="22" t="n">
        <x:v>8369000000</x:v>
      </x:c>
      <x:c r="G143" s="22" t="n">
        <x:v>9112000000</x:v>
      </x:c>
      <x:c r="H143" s="12" t="str">
        <x:v>Check Admin</x:v>
      </x:c>
      <x:c r="I143" s="14" t="str">
        <x:v>DA003</x:v>
      </x:c>
      <x:c r="J143" s="14" t="str">
        <x:v>LSP002</x:v>
      </x:c>
    </x:row>
    <x:row r="144" ht="15" hidden="0" customHeight="1">
      <x:c r="A144" s="14" t="str">
        <x:v>HH-B-04-09</x:v>
      </x:c>
      <x:c r="B144" s="18" t="n">
        <x:v>83.2</x:v>
      </x:c>
      <x:c r="C144" s="12" t="str">
        <x:v>Đông Nam</x:v>
      </x:c>
      <x:c r="D144" s="22"/>
      <x:c r="E144" s="22" t="n">
        <x:v>11153000000</x:v>
      </x:c>
      <x:c r="F144" s="22" t="n">
        <x:v>12837000000</x:v>
      </x:c>
      <x:c r="G144" s="22" t="n">
        <x:v>13978000000</x:v>
      </x:c>
      <x:c r="H144" s="12" t="str">
        <x:v>Check Admin</x:v>
      </x:c>
      <x:c r="I144" s="14" t="str">
        <x:v>DA003</x:v>
      </x:c>
      <x:c r="J144" s="14" t="str">
        <x:v>LSP005</x:v>
      </x:c>
    </x:row>
    <x:row r="145" ht="15" hidden="0" customHeight="1">
      <x:c r="A145" s="14" t="str">
        <x:v>HH-B-29-20</x:v>
      </x:c>
      <x:c r="B145" s="18" t="n">
        <x:v>67.1</x:v>
      </x:c>
      <x:c r="C145" s="12" t="str">
        <x:v>TB</x:v>
      </x:c>
      <x:c r="D145" s="22"/>
      <x:c r="E145" s="22" t="n">
        <x:v>10576000000</x:v>
      </x:c>
      <x:c r="F145" s="22" t="n">
        <x:v>12171000000</x:v>
      </x:c>
      <x:c r="G145" s="22" t="n">
        <x:v>13251000000</x:v>
      </x:c>
      <x:c r="H145" s="12" t="str">
        <x:v>Check Admin</x:v>
      </x:c>
      <x:c r="I145" s="14" t="str">
        <x:v>DA003</x:v>
      </x:c>
      <x:c r="J145" s="14" t="str">
        <x:v>LSP004</x:v>
      </x:c>
    </x:row>
    <x:row r="146" ht="15" hidden="0" customHeight="1">
      <x:c r="A146" s="14" t="str">
        <x:v>HH-B-42-20</x:v>
      </x:c>
      <x:c r="B146" s="18" t="n">
        <x:v>67.4</x:v>
      </x:c>
      <x:c r="C146" s="12" t="str">
        <x:v>TB</x:v>
      </x:c>
      <x:c r="D146" s="22"/>
      <x:c r="E146" s="22" t="n">
        <x:v>9613000000</x:v>
      </x:c>
      <x:c r="F146" s="22" t="n">
        <x:v>11064000000</x:v>
      </x:c>
      <x:c r="G146" s="22" t="n">
        <x:v>12046000000</x:v>
      </x:c>
      <x:c r="H146" s="12" t="str">
        <x:v>Check Admin</x:v>
      </x:c>
      <x:c r="I146" s="14" t="str">
        <x:v>DA003</x:v>
      </x:c>
      <x:c r="J146" s="14" t="str">
        <x:v>LSP004</x:v>
      </x:c>
    </x:row>
    <x:row r="147" ht="15" hidden="0" customHeight="1">
      <x:c r="A147" s="14" t="str">
        <x:v>HH-B-06-12A</x:v>
      </x:c>
      <x:c r="B147" s="18" t="n">
        <x:v>76.2</x:v>
      </x:c>
      <x:c r="C147" s="12" t="str">
        <x:v>ĐN</x:v>
      </x:c>
      <x:c r="D147" s="22"/>
      <x:c r="E147" s="22" t="n">
        <x:v>10810000000</x:v>
      </x:c>
      <x:c r="F147" s="22" t="n">
        <x:v>12443000000</x:v>
      </x:c>
      <x:c r="G147" s="22" t="n">
        <x:v>13551000000</x:v>
      </x:c>
      <x:c r="H147" s="12" t="str">
        <x:v>Check Admin</x:v>
      </x:c>
      <x:c r="I147" s="14" t="str">
        <x:v>DA003</x:v>
      </x:c>
      <x:c r="J147" s="14" t="str">
        <x:v>LSP005</x:v>
      </x:c>
    </x:row>
    <x:row r="148" ht="15" hidden="0" customHeight="1">
      <x:c r="A148" s="14" t="str">
        <x:v>HH-B-10-16</x:v>
      </x:c>
      <x:c r="B148" s="18" t="n">
        <x:v>74.7</x:v>
      </x:c>
      <x:c r="C148" s="12" t="str">
        <x:v>TB</x:v>
      </x:c>
      <x:c r="D148" s="22"/>
      <x:c r="E148" s="22" t="n">
        <x:v>10275000000</x:v>
      </x:c>
      <x:c r="F148" s="22" t="n">
        <x:v>11827000000</x:v>
      </x:c>
      <x:c r="G148" s="22" t="n">
        <x:v>12878000000</x:v>
      </x:c>
      <x:c r="H148" s="12" t="str">
        <x:v>Check Admin</x:v>
      </x:c>
      <x:c r="I148" s="14" t="str">
        <x:v>DA003</x:v>
      </x:c>
      <x:c r="J148" s="14" t="str">
        <x:v>LSP005</x:v>
      </x:c>
    </x:row>
    <x:row r="149" ht="15" hidden="0" customHeight="1">
      <x:c r="A149" s="14" t="str">
        <x:v>HH-B-14-03</x:v>
      </x:c>
      <x:c r="B149" s="18" t="n">
        <x:v>79</x:v>
      </x:c>
      <x:c r="C149" s="12" t="str">
        <x:v>ĐB</x:v>
      </x:c>
      <x:c r="D149" s="22"/>
      <x:c r="E149" s="22" t="n">
        <x:v>10872000000</x:v>
      </x:c>
      <x:c r="F149" s="22" t="n">
        <x:v>12514000000</x:v>
      </x:c>
      <x:c r="G149" s="22" t="n">
        <x:v>13626000000</x:v>
      </x:c>
      <x:c r="H149" s="12" t="str">
        <x:v>Check Admin</x:v>
      </x:c>
      <x:c r="I149" s="14" t="str">
        <x:v>DA003</x:v>
      </x:c>
      <x:c r="J149" s="14" t="str">
        <x:v>LSP005</x:v>
      </x:c>
    </x:row>
    <x:row r="150" ht="15" hidden="0" customHeight="1">
      <x:c r="A150" s="14" t="str">
        <x:v>HH-B-15-05A</x:v>
      </x:c>
      <x:c r="B150" s="18" t="n">
        <x:v>74.7</x:v>
      </x:c>
      <x:c r="C150" s="12" t="str">
        <x:v>ĐB</x:v>
      </x:c>
      <x:c r="D150" s="22"/>
      <x:c r="E150" s="22" t="n">
        <x:v>10516000000</x:v>
      </x:c>
      <x:c r="F150" s="22" t="n">
        <x:v>12104000000</x:v>
      </x:c>
      <x:c r="G150" s="22" t="n">
        <x:v>13179000000</x:v>
      </x:c>
      <x:c r="H150" s="12" t="str">
        <x:v>Check Admin</x:v>
      </x:c>
      <x:c r="I150" s="14" t="str">
        <x:v>DA003</x:v>
      </x:c>
      <x:c r="J150" s="14" t="str">
        <x:v>LSP005</x:v>
      </x:c>
    </x:row>
    <x:row r="151" ht="15" hidden="0" customHeight="1">
      <x:c r="A151" s="14" t="str">
        <x:v>HH-B-17-18</x:v>
      </x:c>
      <x:c r="B151" s="18" t="n">
        <x:v>79.2</x:v>
      </x:c>
      <x:c r="C151" s="12" t="str">
        <x:v>TB</x:v>
      </x:c>
      <x:c r="D151" s="22"/>
      <x:c r="E151" s="22" t="n">
        <x:v>11643000000</x:v>
      </x:c>
      <x:c r="F151" s="22" t="n">
        <x:v>13400000000</x:v>
      </x:c>
      <x:c r="G151" s="22" t="n">
        <x:v>14590000000</x:v>
      </x:c>
      <x:c r="H151" s="12" t="str">
        <x:v>Đã bán</x:v>
      </x:c>
      <x:c r="I151" s="14" t="str">
        <x:v>DA003</x:v>
      </x:c>
      <x:c r="J151" s="14" t="str">
        <x:v>LSP005</x:v>
      </x:c>
    </x:row>
    <x:row r="152" ht="15" hidden="0" customHeight="1">
      <x:c r="A152" s="14" t="str">
        <x:v>HH-B-24-16</x:v>
      </x:c>
      <x:c r="B152" s="18" t="n">
        <x:v>75</x:v>
      </x:c>
      <x:c r="C152" s="12" t="str">
        <x:v>TB</x:v>
      </x:c>
      <x:c r="D152" s="22"/>
      <x:c r="E152" s="22" t="n">
        <x:v>11465000000</x:v>
      </x:c>
      <x:c r="F152" s="22" t="n">
        <x:v>13194000000</x:v>
      </x:c>
      <x:c r="G152" s="22" t="n">
        <x:v>14365000000</x:v>
      </x:c>
      <x:c r="H152" s="12" t="str">
        <x:v>Check Admin</x:v>
      </x:c>
      <x:c r="I152" s="14" t="str">
        <x:v>DA003</x:v>
      </x:c>
      <x:c r="J152" s="14" t="str">
        <x:v>LSP005</x:v>
      </x:c>
    </x:row>
    <x:row r="153" ht="15" hidden="0" customHeight="1">
      <x:c r="A153" s="14" t="str">
        <x:v>HH-B-29-03</x:v>
      </x:c>
      <x:c r="B153" s="18" t="n">
        <x:v>79</x:v>
      </x:c>
      <x:c r="C153" s="12" t="str">
        <x:v>ĐB</x:v>
      </x:c>
      <x:c r="D153" s="22"/>
      <x:c r="E153" s="22" t="n">
        <x:v>11915000000</x:v>
      </x:c>
      <x:c r="F153" s="22" t="n">
        <x:v>13713000000</x:v>
      </x:c>
      <x:c r="G153" s="22" t="n">
        <x:v>14930000000</x:v>
      </x:c>
      <x:c r="H153" s="12" t="str">
        <x:v>Check Admin</x:v>
      </x:c>
      <x:c r="I153" s="14" t="str">
        <x:v>DA003</x:v>
      </x:c>
      <x:c r="J153" s="14" t="str">
        <x:v>LSP005</x:v>
      </x:c>
    </x:row>
    <x:row r="154" ht="15" hidden="0" customHeight="1">
      <x:c r="A154" s="14" t="str">
        <x:v>HH-B-33-05A</x:v>
      </x:c>
      <x:c r="B154" s="18" t="n">
        <x:v>74.7</x:v>
      </x:c>
      <x:c r="C154" s="12" t="str">
        <x:v>ĐB</x:v>
      </x:c>
      <x:c r="D154" s="22"/>
      <x:c r="E154" s="22" t="n">
        <x:v>10842000000</x:v>
      </x:c>
      <x:c r="F154" s="22" t="n">
        <x:v>12478000000</x:v>
      </x:c>
      <x:c r="G154" s="22" t="n">
        <x:v>13586000000</x:v>
      </x:c>
      <x:c r="H154" s="12" t="str">
        <x:v>Check Admin</x:v>
      </x:c>
      <x:c r="I154" s="14" t="str">
        <x:v>DA003</x:v>
      </x:c>
      <x:c r="J154" s="14" t="str">
        <x:v>LSP005</x:v>
      </x:c>
    </x:row>
    <x:row r="155" ht="15" hidden="0" customHeight="1">
      <x:c r="A155" s="14" t="str">
        <x:v>HH-B-34-10</x:v>
      </x:c>
      <x:c r="B155" s="18" t="n">
        <x:v>75.9</x:v>
      </x:c>
      <x:c r="C155" s="12" t="str">
        <x:v>ĐN</x:v>
      </x:c>
      <x:c r="D155" s="22"/>
      <x:c r="E155" s="22" t="n">
        <x:v>12134000000</x:v>
      </x:c>
      <x:c r="F155" s="22" t="n">
        <x:v>13964000000</x:v>
      </x:c>
      <x:c r="G155" s="22" t="n">
        <x:v>15203000000</x:v>
      </x:c>
      <x:c r="H155" s="12" t="str">
        <x:v>Check Admin</x:v>
      </x:c>
      <x:c r="I155" s="14" t="str">
        <x:v>DA003</x:v>
      </x:c>
      <x:c r="J155" s="14" t="str">
        <x:v>LSP005</x:v>
      </x:c>
    </x:row>
    <x:row r="156" ht="15" hidden="0" customHeight="1">
      <x:c r="A156" s="14" t="str">
        <x:v>HH-B-34-12A</x:v>
      </x:c>
      <x:c r="B156" s="18" t="n">
        <x:v>77.6</x:v>
      </x:c>
      <x:c r="C156" s="12" t="str">
        <x:v>ĐN</x:v>
      </x:c>
      <x:c r="D156" s="22"/>
      <x:c r="E156" s="22" t="n">
        <x:v>12116000000</x:v>
      </x:c>
      <x:c r="F156" s="22" t="n">
        <x:v>13944000000</x:v>
      </x:c>
      <x:c r="G156" s="22" t="n">
        <x:v>15181000000</x:v>
      </x:c>
      <x:c r="H156" s="12" t="str">
        <x:v>Check Admin</x:v>
      </x:c>
      <x:c r="I156" s="14" t="str">
        <x:v>DA003</x:v>
      </x:c>
      <x:c r="J156" s="14" t="str">
        <x:v>LSP005</x:v>
      </x:c>
    </x:row>
    <x:row r="157" ht="15" hidden="0" customHeight="1">
      <x:c r="A157" s="14" t="str">
        <x:v>HH-B-39-18A</x:v>
      </x:c>
      <x:c r="B157" s="18" t="n">
        <x:v>79.1</x:v>
      </x:c>
      <x:c r="C157" s="12" t="str">
        <x:v>TB</x:v>
      </x:c>
      <x:c r="D157" s="22"/>
      <x:c r="E157" s="22" t="n">
        <x:v>11307000000</x:v>
      </x:c>
      <x:c r="F157" s="22" t="n">
        <x:v>13014000000</x:v>
      </x:c>
      <x:c r="G157" s="22" t="n">
        <x:v>14169000000</x:v>
      </x:c>
      <x:c r="H157" s="12" t="str">
        <x:v>Check Admin</x:v>
      </x:c>
      <x:c r="I157" s="14" t="str">
        <x:v>DA003</x:v>
      </x:c>
      <x:c r="J157" s="14" t="str">
        <x:v>LSP005</x:v>
      </x:c>
    </x:row>
    <x:row r="158" ht="15" hidden="0" customHeight="1">
      <x:c r="A158" s="14" t="str">
        <x:v>HH-B-40-09</x:v>
      </x:c>
      <x:c r="B158" s="18" t="n">
        <x:v>82.9</x:v>
      </x:c>
      <x:c r="C158" s="12" t="str">
        <x:v>ĐN</x:v>
      </x:c>
      <x:c r="D158" s="22"/>
      <x:c r="E158" s="22" t="n">
        <x:v>12403000000</x:v>
      </x:c>
      <x:c r="F158" s="22" t="n">
        <x:v>14274000000</x:v>
      </x:c>
      <x:c r="G158" s="22" t="n">
        <x:v>15541000000</x:v>
      </x:c>
      <x:c r="H158" s="12" t="str">
        <x:v>Check Admin</x:v>
      </x:c>
      <x:c r="I158" s="14" t="str">
        <x:v>DA003</x:v>
      </x:c>
      <x:c r="J158" s="14" t="str">
        <x:v>LSP005</x:v>
      </x:c>
    </x:row>
    <x:row r="159" ht="15" hidden="0" customHeight="1">
      <x:c r="A159" s="14" t="str">
        <x:v>HH-B-42-26</x:v>
      </x:c>
      <x:c r="B159" s="18" t="n">
        <x:v>107.2</x:v>
      </x:c>
      <x:c r="C159" s="12" t="str">
        <x:v>TN - TB</x:v>
      </x:c>
      <x:c r="D159" s="22"/>
      <x:c r="E159" s="22" t="n">
        <x:v>15550000000</x:v>
      </x:c>
      <x:c r="F159" s="22" t="n">
        <x:v>17898000000</x:v>
      </x:c>
      <x:c r="G159" s="22" t="n">
        <x:v>19486000000</x:v>
      </x:c>
      <x:c r="H159" s="12" t="str">
        <x:v>Check Admin</x:v>
      </x:c>
      <x:c r="I159" s="14" t="str">
        <x:v>DA003</x:v>
      </x:c>
      <x:c r="J159" s="14" t="str">
        <x:v>LSP007</x:v>
      </x:c>
    </x:row>
    <x:row r="160" ht="15" hidden="0" customHeight="1">
      <x:c r="A160" s="14" t="str">
        <x:v>HH-B-34-15A</x:v>
      </x:c>
      <x:c r="B160" s="18" t="n">
        <x:v>127.5</x:v>
      </x:c>
      <x:c r="C160" s="12" t="str">
        <x:v>ĐN - TN</x:v>
      </x:c>
      <x:c r="D160" s="22"/>
      <x:c r="E160" s="22" t="n">
        <x:v>20956000000</x:v>
      </x:c>
      <x:c r="F160" s="22" t="n">
        <x:v>24116000000</x:v>
      </x:c>
      <x:c r="G160" s="22" t="n">
        <x:v>26254000000</x:v>
      </x:c>
      <x:c r="H160" s="12" t="str">
        <x:v>Check Admin</x:v>
      </x:c>
      <x:c r="I160" s="14" t="str">
        <x:v>DA003</x:v>
      </x:c>
      <x:c r="J160" s="14" t="str">
        <x:v>LSP009</x:v>
      </x:c>
    </x:row>
    <x:row r="161" ht="15" hidden="0" customHeight="1">
      <x:c r="A161" s="14" t="str">
        <x:v>C5L1-08-05A</x:v>
      </x:c>
      <x:c r="B161" s="18" t="n">
        <x:v>70.7</x:v>
      </x:c>
      <x:c r="C161" s="12" t="str">
        <x:v>TB</x:v>
      </x:c>
      <x:c r="D161" s="22" t="n">
        <x:v>4787971983</x:v>
      </x:c>
      <x:c r="E161" s="22" t="n">
        <x:v>4494000000</x:v>
      </x:c>
      <x:c r="F161" s="22" t="n">
        <x:v>4970000000</x:v>
      </x:c>
      <x:c r="G161" s="22" t="n">
        <x:v>5288000000</x:v>
      </x:c>
      <x:c r="H161" s="12" t="str">
        <x:v>Đã bán</x:v>
      </x:c>
      <x:c r="I161" s="14" t="str">
        <x:v>DA004</x:v>
      </x:c>
      <x:c r="J161" s="14" t="str">
        <x:v>LSP005</x:v>
      </x:c>
    </x:row>
    <x:row r="162" ht="15" hidden="0" customHeight="1">
      <x:c r="A162" s="14" t="str">
        <x:v>C5L1-08-22</x:v>
      </x:c>
      <x:c r="B162" s="18" t="n">
        <x:v>47.8</x:v>
      </x:c>
      <x:c r="C162" s="12" t="str">
        <x:v>TN</x:v>
      </x:c>
      <x:c r="D162" s="22" t="n">
        <x:v>3417724808</x:v>
      </x:c>
      <x:c r="E162" s="22" t="n">
        <x:v>3208000000</x:v>
      </x:c>
      <x:c r="F162" s="22" t="n">
        <x:v>3549000000</x:v>
      </x:c>
      <x:c r="G162" s="22" t="n">
        <x:v>3776000000</x:v>
      </x:c>
      <x:c r="H162" s="12" t="str">
        <x:v>CDT thu căn</x:v>
      </x:c>
      <x:c r="I162" s="14" t="str">
        <x:v>DA004</x:v>
      </x:c>
      <x:c r="J162" s="14" t="str">
        <x:v>LSP003</x:v>
      </x:c>
    </x:row>
    <x:row r="163" ht="15" hidden="0" customHeight="1">
      <x:c r="A163" s="14" t="str">
        <x:v>C5L1-20-11</x:v>
      </x:c>
      <x:c r="B163" s="18" t="n">
        <x:v>65.7</x:v>
      </x:c>
      <x:c r="C163" s="12" t="str">
        <x:v>ĐB</x:v>
      </x:c>
      <x:c r="D163" s="22" t="n">
        <x:v>4589630260</x:v>
      </x:c>
      <x:c r="E163" s="22" t="n">
        <x:v>4308000000</x:v>
      </x:c>
      <x:c r="F163" s="22" t="n">
        <x:v>4765000000</x:v>
      </x:c>
      <x:c r="G163" s="22" t="n">
        <x:v>5069000000</x:v>
      </x:c>
      <x:c r="H163" s="12" t="str">
        <x:v>CDT thu căn</x:v>
      </x:c>
      <x:c r="I163" s="14" t="str">
        <x:v>DA004</x:v>
      </x:c>
      <x:c r="J163" s="14" t="str">
        <x:v>LSP005</x:v>
      </x:c>
    </x:row>
    <x:row r="164" ht="15" hidden="0" customHeight="1">
      <x:c r="A164" s="14" t="str">
        <x:v>C5L1-08-12A</x:v>
      </x:c>
      <x:c r="B164" s="18" t="n">
        <x:v>42.7</x:v>
      </x:c>
      <x:c r="C164" s="12" t="str">
        <x:v>ĐB</x:v>
      </x:c>
      <x:c r="D164" s="22" t="n">
        <x:v>2884543161</x:v>
      </x:c>
      <x:c r="E164" s="22" t="n">
        <x:v>2708000000</x:v>
      </x:c>
      <x:c r="F164" s="22" t="n">
        <x:v>2995000000</x:v>
      </x:c>
      <x:c r="G164" s="22" t="n">
        <x:v>3187000000</x:v>
      </x:c>
      <x:c r="H164" s="12" t="str">
        <x:v>Đã bán</x:v>
      </x:c>
      <x:c r="I164" s="14" t="str">
        <x:v>DA004</x:v>
      </x:c>
      <x:c r="J164" s="14" t="str">
        <x:v>LSP002</x:v>
      </x:c>
    </x:row>
    <x:row r="165" ht="15" hidden="0" customHeight="1">
      <x:c r="A165" s="14" t="str">
        <x:v>C5L2-23-09</x:v>
      </x:c>
      <x:c r="B165" s="18" t="n">
        <x:v>42.7</x:v>
      </x:c>
      <x:c r="C165" s="12" t="str">
        <x:v>ĐB</x:v>
      </x:c>
      <x:c r="D165" s="22" t="n">
        <x:v>3075623227</x:v>
      </x:c>
      <x:c r="E165" s="22" t="n">
        <x:v>2887000000</x:v>
      </x:c>
      <x:c r="F165" s="22" t="n">
        <x:v>3194000000</x:v>
      </x:c>
      <x:c r="G165" s="22" t="n">
        <x:v>3398000000</x:v>
      </x:c>
      <x:c r="H165" s="12" t="str">
        <x:v>CDT thu căn</x:v>
      </x:c>
      <x:c r="I165" s="14" t="str">
        <x:v>DA004</x:v>
      </x:c>
      <x:c r="J165" s="14" t="str">
        <x:v>LSP002</x:v>
      </x:c>
    </x:row>
    <x:row r="166" ht="15" hidden="0" customHeight="1">
      <x:c r="A166" s="14" t="str">
        <x:v>C5L2-23-02</x:v>
      </x:c>
      <x:c r="B166" s="18" t="n">
        <x:v>31</x:v>
      </x:c>
      <x:c r="C166" s="12" t="str">
        <x:v>TN</x:v>
      </x:c>
      <x:c r="D166" s="22" t="n">
        <x:v>2513896702</x:v>
      </x:c>
      <x:c r="E166" s="22" t="n">
        <x:v>2360000000</x:v>
      </x:c>
      <x:c r="F166" s="22" t="n">
        <x:v>2610000000</x:v>
      </x:c>
      <x:c r="G166" s="22" t="n">
        <x:v>2777000000</x:v>
      </x:c>
      <x:c r="H166" s="12" t="str">
        <x:v>Check Admin</x:v>
      </x:c>
      <x:c r="I166" s="14" t="str">
        <x:v>DA004</x:v>
      </x:c>
      <x:c r="J166" s="14" t="str">
        <x:v>LSP001</x:v>
      </x:c>
    </x:row>
    <x:row r="167" ht="15" hidden="0" customHeight="1">
      <x:c r="A167" s="14" t="str">
        <x:v>C5L2-23-01</x:v>
      </x:c>
      <x:c r="B167" s="18" t="n">
        <x:v>47.8</x:v>
      </x:c>
      <x:c r="C167" s="12" t="str">
        <x:v>TN</x:v>
      </x:c>
      <x:c r="D167" s="22" t="n">
        <x:v>3642080848</x:v>
      </x:c>
      <x:c r="E167" s="22" t="n">
        <x:v>3419000000</x:v>
      </x:c>
      <x:c r="F167" s="22" t="n">
        <x:v>3781000000</x:v>
      </x:c>
      <x:c r="G167" s="22" t="n">
        <x:v>4023000000</x:v>
      </x:c>
      <x:c r="H167" s="12" t="str">
        <x:v>CDT thu căn</x:v>
      </x:c>
      <x:c r="I167" s="14" t="str">
        <x:v>DA004</x:v>
      </x:c>
      <x:c r="J167" s="14" t="str">
        <x:v>LSP003</x:v>
      </x:c>
    </x:row>
    <x:row r="168" ht="15" hidden="0" customHeight="1">
      <x:c r="A168" s="14" t="str">
        <x:v>C5L2-23-10</x:v>
      </x:c>
      <x:c r="B168" s="18" t="n">
        <x:v>47.5</x:v>
      </x:c>
      <x:c r="C168" s="12" t="str">
        <x:v>ĐB</x:v>
      </x:c>
      <x:c r="D168" s="22" t="n">
        <x:v>3404977603</x:v>
      </x:c>
      <x:c r="E168" s="22" t="n">
        <x:v>3196000000</x:v>
      </x:c>
      <x:c r="F168" s="22" t="n">
        <x:v>3555000000</x:v>
      </x:c>
      <x:c r="G168" s="22" t="n">
        <x:v>3761000000</x:v>
      </x:c>
      <x:c r="H168" s="12" t="str">
        <x:v>Check Admin</x:v>
      </x:c>
      <x:c r="I168" s="14" t="str">
        <x:v>DA004</x:v>
      </x:c>
      <x:c r="J168" s="14" t="str">
        <x:v>LSP003</x:v>
      </x:c>
    </x:row>
    <x:row r="169" ht="15" hidden="0" customHeight="1">
      <x:c r="A169" s="14" t="str">
        <x:v>C5L2-23-15A</x:v>
      </x:c>
      <x:c r="B169" s="18" t="n">
        <x:v>46.3</x:v>
      </x:c>
      <x:c r="C169" s="12" t="str">
        <x:v>ĐN</x:v>
      </x:c>
      <x:c r="D169" s="22" t="n">
        <x:v>3304321825</x:v>
      </x:c>
      <x:c r="E169" s="22" t="n">
        <x:v>3101000000</x:v>
      </x:c>
      <x:c r="F169" s="22" t="n">
        <x:v>3430000000</x:v>
      </x:c>
      <x:c r="G169" s="22" t="n">
        <x:v>3649000000</x:v>
      </x:c>
      <x:c r="H169" s="12" t="str">
        <x:v>Check Admin</x:v>
      </x:c>
      <x:c r="I169" s="14" t="str">
        <x:v>DA004</x:v>
      </x:c>
      <x:c r="J169" s="14" t="str">
        <x:v>LSP003</x:v>
      </x:c>
    </x:row>
    <x:row r="170" ht="15" hidden="0" customHeight="1">
      <x:c r="A170" s="14" t="str">
        <x:v>C5L2-23-03</x:v>
      </x:c>
      <x:c r="B170" s="18" t="n">
        <x:v>47.8</x:v>
      </x:c>
      <x:c r="C170" s="12" t="str">
        <x:v>TN</x:v>
      </x:c>
      <x:c r="D170" s="22" t="n">
        <x:v>3791593082</x:v>
      </x:c>
      <x:c r="E170" s="22" t="n">
        <x:v>3560000000</x:v>
      </x:c>
      <x:c r="F170" s="22" t="n">
        <x:v>3937000000</x:v>
      </x:c>
      <x:c r="G170" s="22" t="n">
        <x:v>4189000000</x:v>
      </x:c>
      <x:c r="H170" s="12" t="str">
        <x:v>CDT thu căn</x:v>
      </x:c>
      <x:c r="I170" s="14" t="str">
        <x:v>DA004</x:v>
      </x:c>
      <x:c r="J170" s="14" t="str">
        <x:v>LSP003</x:v>
      </x:c>
    </x:row>
    <x:row r="171" ht="15" hidden="0" customHeight="1">
      <x:c r="A171" s="14" t="str">
        <x:v>C5Z1-05-15</x:v>
      </x:c>
      <x:c r="B171" s="18" t="n">
        <x:v>65.2</x:v>
      </x:c>
      <x:c r="C171" s="12" t="str">
        <x:v>TB - TN</x:v>
      </x:c>
      <x:c r="D171" s="22" t="n">
        <x:v>4552915413</x:v>
      </x:c>
      <x:c r="E171" s="22" t="n">
        <x:v>4273000000</x:v>
      </x:c>
      <x:c r="F171" s="22" t="n">
        <x:v>4726000000</x:v>
      </x:c>
      <x:c r="G171" s="22" t="n">
        <x:v>5028000000</x:v>
      </x:c>
      <x:c r="H171" s="12" t="str">
        <x:v>Check Admin</x:v>
      </x:c>
      <x:c r="I171" s="14" t="str">
        <x:v>DA004</x:v>
      </x:c>
      <x:c r="J171" s="14" t="str">
        <x:v>LSP001</x:v>
      </x:c>
    </x:row>
    <x:row r="172" ht="15" hidden="0" customHeight="1">
      <x:c r="A172" s="14" t="str">
        <x:v>C5L2-23-12A</x:v>
      </x:c>
      <x:c r="B172" s="18" t="n">
        <x:v>46.3</x:v>
      </x:c>
      <x:c r="C172" s="12" t="str">
        <x:v>ĐN</x:v>
      </x:c>
      <x:c r="D172" s="22" t="n">
        <x:v>3304321825</x:v>
      </x:c>
      <x:c r="E172" s="22" t="n">
        <x:v>3102000000</x:v>
      </x:c>
      <x:c r="F172" s="22" t="n">
        <x:v>3431000000</x:v>
      </x:c>
      <x:c r="G172" s="22" t="n">
        <x:v>3650000000</x:v>
      </x:c>
      <x:c r="H172" s="12" t="str">
        <x:v>CDT thu căn</x:v>
      </x:c>
      <x:c r="I172" s="14" t="str">
        <x:v>DA004</x:v>
      </x:c>
      <x:c r="J172" s="14" t="str">
        <x:v>LSP003</x:v>
      </x:c>
    </x:row>
    <x:row r="173" ht="15" hidden="0" customHeight="1">
      <x:c r="A173" s="14" t="str">
        <x:v>C5L2-10-09</x:v>
      </x:c>
      <x:c r="B173" s="18" t="n">
        <x:v>65.7</x:v>
      </x:c>
      <x:c r="C173" s="12" t="str">
        <x:v>ĐB</x:v>
      </x:c>
      <x:c r="D173" s="22" t="n">
        <x:v>4484532182</x:v>
      </x:c>
      <x:c r="E173" s="22" t="n">
        <x:v>4234000000</x:v>
      </x:c>
      <x:c r="F173" s="22" t="n">
        <x:v>4680000000</x:v>
      </x:c>
      <x:c r="G173" s="22" t="n">
        <x:v>5003000000</x:v>
      </x:c>
      <x:c r="H173" s="12" t="str">
        <x:v>Check Admin</x:v>
      </x:c>
      <x:c r="I173" s="14" t="str">
        <x:v>DA004</x:v>
      </x:c>
      <x:c r="J173" s="14" t="str">
        <x:v>LSP005</x:v>
      </x:c>
    </x:row>
    <x:row r="174" ht="15" hidden="0" customHeight="1">
      <x:c r="A174" s="14" t="str">
        <x:v>C5L2-12-12</x:v>
      </x:c>
      <x:c r="B174" s="18" t="n">
        <x:v>65.7</x:v>
      </x:c>
      <x:c r="C174" s="12" t="str">
        <x:v>ĐB</x:v>
      </x:c>
      <x:c r="D174" s="22" t="n">
        <x:v>4525755695</x:v>
      </x:c>
      <x:c r="E174" s="22" t="n">
        <x:v>4273000000</x:v>
      </x:c>
      <x:c r="F174" s="22" t="n">
        <x:v>4723000000</x:v>
      </x:c>
      <x:c r="G174" s="22" t="n">
        <x:v>5049000000</x:v>
      </x:c>
      <x:c r="H174" s="12" t="str">
        <x:v>Check Admin</x:v>
      </x:c>
      <x:c r="I174" s="14" t="str">
        <x:v>DA004</x:v>
      </x:c>
      <x:c r="J174" s="14" t="str">
        <x:v>LSP005</x:v>
      </x:c>
    </x:row>
    <x:row r="175" ht="15" hidden="0" customHeight="1">
      <x:c r="A175" s="14" t="str">
        <x:v>C5L2-23-05</x:v>
      </x:c>
      <x:c r="B175" s="18" t="n">
        <x:v>30.7</x:v>
      </x:c>
      <x:c r="C175" s="12" t="str">
        <x:v>TN</x:v>
      </x:c>
      <x:c r="D175" s="22" t="n">
        <x:v>2500609986</x:v>
      </x:c>
      <x:c r="E175" s="22" t="n">
        <x:v>2348000000</x:v>
      </x:c>
      <x:c r="F175" s="22" t="n">
        <x:v>2597000000</x:v>
      </x:c>
      <x:c r="G175" s="22" t="n">
        <x:v>2762000000</x:v>
      </x:c>
      <x:c r="H175" s="12" t="str">
        <x:v>Check Admin</x:v>
      </x:c>
      <x:c r="I175" s="14" t="str">
        <x:v>DA004</x:v>
      </x:c>
      <x:c r="J175" s="14" t="str">
        <x:v>LSP001</x:v>
      </x:c>
    </x:row>
    <x:row r="176" ht="15" hidden="0" customHeight="1">
      <x:c r="A176" s="14" t="str">
        <x:v>C5L2-23-08</x:v>
      </x:c>
      <x:c r="B176" s="18" t="n">
        <x:v>65.7</x:v>
      </x:c>
      <x:c r="C176" s="12" t="str">
        <x:v>ĐB</x:v>
      </x:c>
      <x:c r="D176" s="22" t="n">
        <x:v>4589852786</x:v>
      </x:c>
      <x:c r="E176" s="22" t="n">
        <x:v>4308000000</x:v>
      </x:c>
      <x:c r="F176" s="22" t="n">
        <x:v>4765000000</x:v>
      </x:c>
      <x:c r="G176" s="22" t="n">
        <x:v>5067000000</x:v>
      </x:c>
      <x:c r="H176" s="12" t="str">
        <x:v>CDT thu căn</x:v>
      </x:c>
      <x:c r="I176" s="14" t="str">
        <x:v>DA004</x:v>
      </x:c>
      <x:c r="J176" s="14" t="str">
        <x:v>LSP005</x:v>
      </x:c>
    </x:row>
    <x:row r="177" ht="15" hidden="0" customHeight="1">
      <x:c r="A177" s="14" t="str">
        <x:v>C5L2-23-16</x:v>
      </x:c>
      <x:c r="B177" s="18" t="n">
        <x:v>70.7</x:v>
      </x:c>
      <x:c r="C177" s="12" t="str">
        <x:v>ĐN - TN</x:v>
      </x:c>
      <x:c r="D177" s="22" t="n">
        <x:v>5090077113</x:v>
      </x:c>
      <x:c r="E177" s="22" t="n">
        <x:v>4779000000</x:v>
      </x:c>
      <x:c r="F177" s="22" t="n">
        <x:v>5285000000</x:v>
      </x:c>
      <x:c r="G177" s="22" t="n">
        <x:v>5623000000</x:v>
      </x:c>
      <x:c r="H177" s="12" t="str">
        <x:v>CDT thu căn</x:v>
      </x:c>
      <x:c r="I177" s="14" t="str">
        <x:v>DA004</x:v>
      </x:c>
      <x:c r="J177" s="14" t="str">
        <x:v>LSP005</x:v>
      </x:c>
    </x:row>
    <x:row r="178" ht="15" hidden="0" customHeight="1">
      <x:c r="A178" s="14" t="str">
        <x:v>C5L2-23-05A</x:v>
      </x:c>
      <x:c r="B178" s="18" t="n">
        <x:v>72.9</x:v>
      </x:c>
      <x:c r="C178" s="12" t="str">
        <x:v>TN</x:v>
      </x:c>
      <x:c r="D178" s="22" t="n">
        <x:v>5575241680</x:v>
      </x:c>
      <x:c r="E178" s="22" t="n">
        <x:v>5234000000</x:v>
      </x:c>
      <x:c r="F178" s="22" t="n">
        <x:v>5788000000</x:v>
      </x:c>
      <x:c r="G178" s="22" t="n">
        <x:v>6158000000</x:v>
      </x:c>
      <x:c r="H178" s="12" t="str">
        <x:v>CDT thu căn</x:v>
      </x:c>
      <x:c r="I178" s="14" t="str">
        <x:v>DA004</x:v>
      </x:c>
      <x:c r="J178" s="14" t="str">
        <x:v>LSP006</x:v>
      </x:c>
    </x:row>
    <x:row r="179" ht="15" hidden="0" customHeight="1">
      <x:c r="A179" s="14" t="str">
        <x:v>C5L2-23-15</x:v>
      </x:c>
      <x:c r="B179" s="18" t="n">
        <x:v>31.6</x:v>
      </x:c>
      <x:c r="C179" s="12" t="str">
        <x:v>ĐN</x:v>
      </x:c>
      <x:c r="D179" s="22" t="n">
        <x:v>2353145445</x:v>
      </x:c>
      <x:c r="E179" s="22" t="n">
        <x:v>2209000000</x:v>
      </x:c>
      <x:c r="F179" s="22" t="n">
        <x:v>2443000000</x:v>
      </x:c>
      <x:c r="G179" s="22" t="n">
        <x:v>2599000000</x:v>
      </x:c>
      <x:c r="H179" s="12" t="str">
        <x:v>CDT thu căn</x:v>
      </x:c>
      <x:c r="I179" s="14" t="str">
        <x:v>DA004</x:v>
      </x:c>
      <x:c r="J179" s="14" t="str">
        <x:v>LSP001</x:v>
      </x:c>
    </x:row>
    <x:row r="180" ht="15" hidden="0" customHeight="1">
      <x:c r="A180" s="14" t="str">
        <x:v>C5Z1-05-12A</x:v>
      </x:c>
      <x:c r="B180" s="18" t="n">
        <x:v>50.4</x:v>
      </x:c>
      <x:c r="C180" s="12" t="str">
        <x:v>ĐN</x:v>
      </x:c>
      <x:c r="D180" s="22" t="n">
        <x:v>3539002774</x:v>
      </x:c>
      <x:c r="E180" s="22" t="n">
        <x:v>3322000000</x:v>
      </x:c>
      <x:c r="F180" s="22" t="n">
        <x:v>3674000000</x:v>
      </x:c>
      <x:c r="G180" s="22" t="n">
        <x:v>3909000000</x:v>
      </x:c>
      <x:c r="H180" s="12" t="str">
        <x:v>Đã bán</x:v>
      </x:c>
      <x:c r="I180" s="14" t="str">
        <x:v>DA004</x:v>
      </x:c>
      <x:c r="J180" s="14" t="str">
        <x:v>LSP003</x:v>
      </x:c>
    </x:row>
    <x:row r="181" ht="15" hidden="0" customHeight="1">
      <x:c r="A181" s="14" t="str">
        <x:v>C5Z1-05-18</x:v>
      </x:c>
      <x:c r="B181" s="18" t="n">
        <x:v>49</x:v>
      </x:c>
      <x:c r="C181" s="12" t="str">
        <x:v>TB</x:v>
      </x:c>
      <x:c r="D181" s="22" t="n">
        <x:v>3177128885</x:v>
      </x:c>
      <x:c r="E181" s="22" t="n">
        <x:v>2982000000</x:v>
      </x:c>
      <x:c r="F181" s="22" t="n">
        <x:v>3298000000</x:v>
      </x:c>
      <x:c r="G181" s="22" t="n">
        <x:v>3509000000</x:v>
      </x:c>
      <x:c r="H181" s="12" t="str">
        <x:v>Đã bán</x:v>
      </x:c>
      <x:c r="I181" s="14" t="str">
        <x:v>DA004</x:v>
      </x:c>
      <x:c r="J181" s="14" t="str">
        <x:v>LSP003</x:v>
      </x:c>
    </x:row>
    <x:row r="182" ht="15" hidden="0" customHeight="1">
      <x:c r="A182" s="14" t="str">
        <x:v>C5Z1-05-06</x:v>
      </x:c>
      <x:c r="B182" s="18" t="n">
        <x:v>70</x:v>
      </x:c>
      <x:c r="C182" s="12" t="str">
        <x:v>TB - ĐN</x:v>
      </x:c>
      <x:c r="D182" s="22" t="n">
        <x:v>4608130450</x:v>
      </x:c>
      <x:c r="E182" s="22" t="n">
        <x:v>4325000000</x:v>
      </x:c>
      <x:c r="F182" s="22" t="n">
        <x:v>4784000000</x:v>
      </x:c>
      <x:c r="G182" s="22" t="n">
        <x:v>5089000000</x:v>
      </x:c>
      <x:c r="H182" s="12" t="str">
        <x:v>CDT thu căn</x:v>
      </x:c>
      <x:c r="I182" s="14" t="str">
        <x:v>DA004</x:v>
      </x:c>
      <x:c r="J182" s="14" t="str">
        <x:v>LSP006</x:v>
      </x:c>
    </x:row>
    <x:row r="183" ht="15" hidden="0" customHeight="1">
      <x:c r="A183" s="14" t="str">
        <x:v>C5Z1-05-11</x:v>
      </x:c>
      <x:c r="B183" s="18" t="n">
        <x:v>92.8</x:v>
      </x:c>
      <x:c r="C183" s="12" t="str">
        <x:v>ĐN</x:v>
      </x:c>
      <x:c r="D183" s="22" t="n">
        <x:v>6332140720</x:v>
      </x:c>
      <x:c r="E183" s="22" t="n">
        <x:v>5944000000</x:v>
      </x:c>
      <x:c r="F183" s="22" t="n">
        <x:v>6574000000</x:v>
      </x:c>
      <x:c r="G183" s="22" t="n">
        <x:v>6994000000</x:v>
      </x:c>
      <x:c r="H183" s="12" t="str">
        <x:v>Check Admin</x:v>
      </x:c>
      <x:c r="I183" s="14" t="str">
        <x:v>DA004</x:v>
      </x:c>
      <x:c r="J183" s="14" t="str">
        <x:v>LSP008</x:v>
      </x:c>
    </x:row>
    <x:row r="184" ht="15" hidden="0" customHeight="1">
      <x:c r="A184" s="14" t="str">
        <x:v>C5Z1-05-08</x:v>
      </x:c>
      <x:c r="B184" s="18" t="n">
        <x:v>50.1</x:v>
      </x:c>
      <x:c r="C184" s="12" t="str">
        <x:v>ĐN</x:v>
      </x:c>
      <x:c r="D184" s="22" t="n">
        <x:v>3443150155</x:v>
      </x:c>
      <x:c r="E184" s="22" t="n">
        <x:v>3232000000</x:v>
      </x:c>
      <x:c r="F184" s="22" t="n">
        <x:v>3574000000</x:v>
      </x:c>
      <x:c r="G184" s="22" t="n">
        <x:v>3803000000</x:v>
      </x:c>
      <x:c r="H184" s="12" t="str">
        <x:v>Check Admin</x:v>
      </x:c>
      <x:c r="I184" s="14" t="str">
        <x:v>DA004</x:v>
      </x:c>
      <x:c r="J184" s="14" t="str">
        <x:v>LSP003</x:v>
      </x:c>
    </x:row>
    <x:row r="185" ht="15" hidden="0" customHeight="1">
      <x:c r="A185" s="14" t="str">
        <x:v>C5Z1-11-06</x:v>
      </x:c>
      <x:c r="B185" s="18" t="n">
        <x:v>70</x:v>
      </x:c>
      <x:c r="C185" s="12" t="str">
        <x:v>TB</x:v>
      </x:c>
      <x:c r="D185" s="22" t="n">
        <x:v>4840895010</x:v>
      </x:c>
      <x:c r="E185" s="22" t="n">
        <x:v>4544000000</x:v>
      </x:c>
      <x:c r="F185" s="22" t="n">
        <x:v>5025000000</x:v>
      </x:c>
      <x:c r="G185" s="22" t="n">
        <x:v>5346000000</x:v>
      </x:c>
      <x:c r="H185" s="12" t="str">
        <x:v>CDT thu căn</x:v>
      </x:c>
      <x:c r="I185" s="14" t="str">
        <x:v>DA004</x:v>
      </x:c>
      <x:c r="J185" s="14" t="str">
        <x:v>LSP006</x:v>
      </x:c>
    </x:row>
    <x:row r="186" ht="15" hidden="0" customHeight="1">
      <x:c r="A186" s="14" t="str">
        <x:v>C5Z3-08-05A</x:v>
      </x:c>
      <x:c r="B186" s="18" t="n">
        <x:v>65.2</x:v>
      </x:c>
      <x:c r="C186" s="12" t="str">
        <x:v>ĐN - TN</x:v>
      </x:c>
      <x:c r="D186" s="22" t="n">
        <x:v>4899683243</x:v>
      </x:c>
      <x:c r="E186" s="22" t="n">
        <x:v>4599000000</x:v>
      </x:c>
      <x:c r="F186" s="22" t="n">
        <x:v>5087000000</x:v>
      </x:c>
      <x:c r="G186" s="22" t="n">
        <x:v>5412000000</x:v>
      </x:c>
      <x:c r="H186" s="12" t="str">
        <x:v>Đã bán</x:v>
      </x:c>
      <x:c r="I186" s="14" t="str">
        <x:v>DA004</x:v>
      </x:c>
      <x:c r="J186" s="14" t="str">
        <x:v>LSP006</x:v>
      </x:c>
    </x:row>
    <x:row r="187" ht="15" hidden="0" customHeight="1">
      <x:c r="A187" s="14" t="str">
        <x:v>C5Z3-08-15A</x:v>
      </x:c>
      <x:c r="B187" s="18" t="n">
        <x:v>32.7</x:v>
      </x:c>
      <x:c r="C187" s="12" t="str">
        <x:v>-</x:v>
      </x:c>
      <x:c r="D187" s="22" t="n">
        <x:v>2110171518</x:v>
      </x:c>
      <x:c r="E187" s="22" t="n">
        <x:v>1980000000</x:v>
      </x:c>
      <x:c r="F187" s="22" t="n">
        <x:v>2190000000</x:v>
      </x:c>
      <x:c r="G187" s="22" t="n">
        <x:v>2330000000</x:v>
      </x:c>
      <x:c r="H187" s="12" t="str">
        <x:v>Đã bán</x:v>
      </x:c>
      <x:c r="I187" s="14" t="str">
        <x:v>DA004</x:v>
      </x:c>
      <x:c r="J187" s="14" t="str">
        <x:v>LSP001</x:v>
      </x:c>
    </x:row>
    <x:row r="188" ht="15" hidden="0" customHeight="1">
      <x:c r="A188" s="14" t="str">
        <x:v>C5Z3-08-01</x:v>
      </x:c>
      <x:c r="B188" s="18" t="n">
        <x:v>49</x:v>
      </x:c>
      <x:c r="C188" s="12" t="str">
        <x:v>ĐN</x:v>
      </x:c>
      <x:c r="D188" s="22" t="n">
        <x:v>3452737176</x:v>
      </x:c>
      <x:c r="E188" s="22" t="n">
        <x:v>3241000000</x:v>
      </x:c>
      <x:c r="F188" s="22" t="n">
        <x:v>3584000000</x:v>
      </x:c>
      <x:c r="G188" s="22" t="n">
        <x:v>3813000000</x:v>
      </x:c>
      <x:c r="H188" s="12" t="str">
        <x:v>Check Admin</x:v>
      </x:c>
      <x:c r="I188" s="14" t="str">
        <x:v>DA004</x:v>
      </x:c>
      <x:c r="J188" s="14" t="str">
        <x:v>LSP003</x:v>
      </x:c>
    </x:row>
    <x:row r="189" ht="15" hidden="0" customHeight="1">
      <x:c r="A189" s="14" t="str">
        <x:v>C5Z3-08-06</x:v>
      </x:c>
      <x:c r="B189" s="18" t="n">
        <x:v>50.4</x:v>
      </x:c>
      <x:c r="C189" s="12" t="str">
        <x:v>TB</x:v>
      </x:c>
      <x:c r="D189" s="22" t="n">
        <x:v>3634679059</x:v>
      </x:c>
      <x:c r="E189" s="22" t="n">
        <x:v>3412000000</x:v>
      </x:c>
      <x:c r="F189" s="22" t="n">
        <x:v>3773000000</x:v>
      </x:c>
      <x:c r="G189" s="22" t="n">
        <x:v>4014000000</x:v>
      </x:c>
      <x:c r="H189" s="12" t="str">
        <x:v>Check Admin</x:v>
      </x:c>
      <x:c r="I189" s="14" t="str">
        <x:v>DA004</x:v>
      </x:c>
      <x:c r="J189" s="14" t="str">
        <x:v>LSP003</x:v>
      </x:c>
    </x:row>
    <x:row r="190" ht="15" hidden="0" customHeight="1">
      <x:c r="A190" s="14" t="str">
        <x:v>C5Z3-08-08</x:v>
      </x:c>
      <x:c r="B190" s="18" t="n">
        <x:v>92.8</x:v>
      </x:c>
      <x:c r="C190" s="12" t="str">
        <x:v>TB - ĐB</x:v>
      </x:c>
      <x:c r="D190" s="22" t="n">
        <x:v>6489014944</x:v>
      </x:c>
      <x:c r="E190" s="22" t="n">
        <x:v>6091000000</x:v>
      </x:c>
      <x:c r="F190" s="22" t="n">
        <x:v>6737000000</x:v>
      </x:c>
      <x:c r="G190" s="22" t="n">
        <x:v>7240000000</x:v>
      </x:c>
      <x:c r="H190" s="12" t="str">
        <x:v>CDT thu căn</x:v>
      </x:c>
      <x:c r="I190" s="14" t="str">
        <x:v>DA004</x:v>
      </x:c>
      <x:c r="J190" s="14" t="str">
        <x:v>LSP008</x:v>
      </x:c>
    </x:row>
    <x:row r="191" ht="15" hidden="0" customHeight="1">
      <x:c r="A191" s="14" t="str">
        <x:v>C5Z3-08-03</x:v>
      </x:c>
      <x:c r="B191" s="18" t="n">
        <x:v>28.7</x:v>
      </x:c>
      <x:c r="C191" s="12" t="str">
        <x:v>Đông Nam</x:v>
      </x:c>
      <x:c r="D191" s="22" t="n">
        <x:v>2148865403</x:v>
      </x:c>
      <x:c r="E191" s="22" t="n">
        <x:v>2017000000</x:v>
      </x:c>
      <x:c r="F191" s="22" t="n">
        <x:v>2231000000</x:v>
      </x:c>
      <x:c r="G191" s="22" t="n">
        <x:v>2373000000</x:v>
      </x:c>
      <x:c r="H191" s="12" t="str">
        <x:v>Đã bán</x:v>
      </x:c>
      <x:c r="I191" s="14" t="str">
        <x:v>DA004</x:v>
      </x:c>
      <x:c r="J191" s="14" t="str">
        <x:v>LSP001</x:v>
      </x:c>
    </x:row>
    <x:row r="192" ht="15" hidden="0" customHeight="1">
      <x:c r="A192" s="14" t="str">
        <x:v>C5Z3-08-11</x:v>
      </x:c>
      <x:c r="B192" s="18" t="n">
        <x:v>50.1</x:v>
      </x:c>
      <x:c r="C192" s="12" t="str">
        <x:v>TB</x:v>
      </x:c>
      <x:c r="D192" s="22" t="n">
        <x:v>3522200090</x:v>
      </x:c>
      <x:c r="E192" s="22" t="n">
        <x:v>3306000000</x:v>
      </x:c>
      <x:c r="F192" s="22" t="n">
        <x:v>3656000000</x:v>
      </x:c>
      <x:c r="G192" s="22" t="n">
        <x:v>3890000000</x:v>
      </x:c>
      <x:c r="H192" s="12" t="str">
        <x:v>Check Admin</x:v>
      </x:c>
      <x:c r="I192" s="14" t="str">
        <x:v>DA004</x:v>
      </x:c>
      <x:c r="J192" s="14" t="str">
        <x:v>LSP003</x:v>
      </x:c>
    </x:row>
    <x:row r="193" ht="15" hidden="0" customHeight="1">
      <x:c r="A193" s="14" t="str">
        <x:v>C5Z3-08-12A</x:v>
      </x:c>
      <x:c r="B193" s="18" t="n">
        <x:v>70</x:v>
      </x:c>
      <x:c r="C193" s="12" t="str">
        <x:v>ĐB - ĐN</x:v>
      </x:c>
      <x:c r="D193" s="22" t="n">
        <x:v>4923958270</x:v>
      </x:c>
      <x:c r="E193" s="22" t="n">
        <x:v>4622000000</x:v>
      </x:c>
      <x:c r="F193" s="22" t="n">
        <x:v>5112000000</x:v>
      </x:c>
      <x:c r="G193" s="22" t="n">
        <x:v>5438000000</x:v>
      </x:c>
      <x:c r="H193" s="12" t="str">
        <x:v>Đã bán</x:v>
      </x:c>
      <x:c r="I193" s="14" t="str">
        <x:v>DA004</x:v>
      </x:c>
      <x:c r="J193" s="14" t="str">
        <x:v>LSP006</x:v>
      </x:c>
    </x:row>
    <x:row r="194" ht="15" hidden="0" customHeight="1">
      <x:c r="A194" s="14" t="str">
        <x:v>C5Z3-08-15</x:v>
      </x:c>
      <x:c r="B194" s="18" t="n">
        <x:v>47.1</x:v>
      </x:c>
      <x:c r="C194" s="12" t="str">
        <x:v>ĐN</x:v>
      </x:c>
      <x:c r="D194" s="22" t="n">
        <x:v>3400465041</x:v>
      </x:c>
      <x:c r="E194" s="22" t="n">
        <x:v>3192000000</x:v>
      </x:c>
      <x:c r="F194" s="22" t="n">
        <x:v>3530000000</x:v>
      </x:c>
      <x:c r="G194" s="22" t="n">
        <x:v>3756000000</x:v>
      </x:c>
      <x:c r="H194" s="12" t="str">
        <x:v>Check Admin</x:v>
      </x:c>
      <x:c r="I194" s="14" t="str">
        <x:v>DA004</x:v>
      </x:c>
      <x:c r="J194" s="14" t="str">
        <x:v>LSP003</x:v>
      </x:c>
    </x:row>
    <x:row r="195" ht="15" hidden="0" customHeight="1">
      <x:c r="A195" s="14" t="str">
        <x:v>C5L3-10-12A</x:v>
      </x:c>
      <x:c r="B195" s="18" t="n">
        <x:v>42.7</x:v>
      </x:c>
      <x:c r="C195" s="12" t="str">
        <x:v>ĐB</x:v>
      </x:c>
      <x:c r="D195" s="22" t="n">
        <x:v>3024615131</x:v>
      </x:c>
      <x:c r="E195" s="22" t="n">
        <x:v>2840000000</x:v>
      </x:c>
      <x:c r="F195" s="22" t="n">
        <x:v>3241000000</x:v>
      </x:c>
      <x:c r="G195" s="22" t="n">
        <x:v>3341000000</x:v>
      </x:c>
      <x:c r="H195" s="12" t="str">
        <x:v>Check Admin</x:v>
      </x:c>
      <x:c r="I195" s="14" t="str">
        <x:v>DA004</x:v>
      </x:c>
      <x:c r="J195" s="14" t="str">
        <x:v>LSP002</x:v>
      </x:c>
    </x:row>
    <x:row r="196" ht="15" hidden="0" customHeight="1">
      <x:c r="A196" s="14" t="str">
        <x:v>C5L3-15-12A</x:v>
      </x:c>
      <x:c r="B196" s="18" t="n">
        <x:v>42.7</x:v>
      </x:c>
      <x:c r="C196" s="12" t="str">
        <x:v>ĐB</x:v>
      </x:c>
      <x:c r="D196" s="22" t="n">
        <x:v>3098983586</x:v>
      </x:c>
      <x:c r="E196" s="22" t="n">
        <x:v>2909000000</x:v>
      </x:c>
      <x:c r="F196" s="22" t="n">
        <x:v>3217000000</x:v>
      </x:c>
      <x:c r="G196" s="22" t="n">
        <x:v>3457000000</x:v>
      </x:c>
      <x:c r="H196" s="12" t="str">
        <x:v>Check Admin</x:v>
      </x:c>
      <x:c r="I196" s="14" t="str">
        <x:v>DA004</x:v>
      </x:c>
      <x:c r="J196" s="14" t="str">
        <x:v>LSP002</x:v>
      </x:c>
    </x:row>
    <x:row r="197" ht="15" hidden="0" customHeight="1">
      <x:c r="A197" s="14" t="str">
        <x:v>C5L3-10-06</x:v>
      </x:c>
      <x:c r="B197" s="18" t="n">
        <x:v>46.3</x:v>
      </x:c>
      <x:c r="C197" s="12" t="str">
        <x:v>TB</x:v>
      </x:c>
      <x:c r="D197" s="22" t="n">
        <x:v>3145740898</x:v>
      </x:c>
      <x:c r="E197" s="22" t="n">
        <x:v>2953000000</x:v>
      </x:c>
      <x:c r="F197" s="22" t="n">
        <x:v>3265000000</x:v>
      </x:c>
      <x:c r="G197" s="22" t="n">
        <x:v>3475000000</x:v>
      </x:c>
      <x:c r="H197" s="12" t="str">
        <x:v>Check Admin</x:v>
      </x:c>
      <x:c r="I197" s="14" t="str">
        <x:v>DA004</x:v>
      </x:c>
      <x:c r="J197" s="14" t="str">
        <x:v>LSP003</x:v>
      </x:c>
    </x:row>
    <x:row r="198" ht="15" hidden="0" customHeight="1">
      <x:c r="A198" s="14" t="str">
        <x:v>C5L3-10-10</x:v>
      </x:c>
      <x:c r="B198" s="18" t="n">
        <x:v>73.5</x:v>
      </x:c>
      <x:c r="C198" s="12" t="str">
        <x:v>ĐB</x:v>
      </x:c>
      <x:c r="D198" s="22" t="n">
        <x:v>4816566573</x:v>
      </x:c>
      <x:c r="E198" s="22" t="n">
        <x:v>4522000000</x:v>
      </x:c>
      <x:c r="F198" s="22" t="n">
        <x:v>5001000000</x:v>
      </x:c>
      <x:c r="G198" s="22" t="n">
        <x:v>5373000000</x:v>
      </x:c>
      <x:c r="H198" s="12" t="str">
        <x:v>Check Admin</x:v>
      </x:c>
      <x:c r="I198" s="14" t="str">
        <x:v>DA004</x:v>
      </x:c>
      <x:c r="J198" s="14" t="str">
        <x:v>LSP006</x:v>
      </x:c>
    </x:row>
    <x:row r="199" ht="15" hidden="0" customHeight="1">
      <x:c r="A199" s="14" t="str">
        <x:v>C5L3-10-12</x:v>
      </x:c>
      <x:c r="B199" s="18" t="n">
        <x:v>47.5</x:v>
      </x:c>
      <x:c r="C199" s="12" t="str">
        <x:v>ĐB</x:v>
      </x:c>
      <x:c r="D199" s="22" t="n">
        <x:v>3364762915</x:v>
      </x:c>
      <x:c r="E199" s="22" t="n">
        <x:v>3158000000</x:v>
      </x:c>
      <x:c r="F199" s="22" t="n">
        <x:v>3493000000</x:v>
      </x:c>
      <x:c r="G199" s="22" t="n">
        <x:v>3717000000</x:v>
      </x:c>
      <x:c r="H199" s="12" t="str">
        <x:v>Check Admin</x:v>
      </x:c>
      <x:c r="I199" s="14" t="str">
        <x:v>DA004</x:v>
      </x:c>
      <x:c r="J199" s="14" t="str">
        <x:v>LSP003</x:v>
      </x:c>
    </x:row>
    <x:row r="200" ht="15" hidden="0" customHeight="1">
      <x:c r="A200" s="14" t="str">
        <x:v>C5L3-10-22</x:v>
      </x:c>
      <x:c r="B200" s="18" t="n">
        <x:v>47.8</x:v>
      </x:c>
      <x:c r="C200" s="12" t="str">
        <x:v>TN</x:v>
      </x:c>
      <x:c r="D200" s="22" t="n">
        <x:v>3605432540</x:v>
      </x:c>
      <x:c r="E200" s="22" t="n">
        <x:v>3385000000</x:v>
      </x:c>
      <x:c r="F200" s="22" t="n">
        <x:v>3743000000</x:v>
      </x:c>
      <x:c r="G200" s="22" t="n">
        <x:v>3983000000</x:v>
      </x:c>
      <x:c r="H200" s="12" t="str">
        <x:v>Check Admin</x:v>
      </x:c>
      <x:c r="I200" s="14" t="str">
        <x:v>DA004</x:v>
      </x:c>
      <x:c r="J200" s="14" t="str">
        <x:v>LSP003</x:v>
      </x:c>
    </x:row>
    <x:row r="201" ht="15" hidden="0" customHeight="1">
      <x:c r="A201" s="14" t="str">
        <x:v>C5L3-13-06</x:v>
      </x:c>
      <x:c r="B201" s="18" t="n">
        <x:v>46.3</x:v>
      </x:c>
      <x:c r="C201" s="12" t="str">
        <x:v>TB</x:v>
      </x:c>
      <x:c r="D201" s="22" t="n">
        <x:v>3116711076</x:v>
      </x:c>
      <x:c r="E201" s="22" t="n">
        <x:v>2925000000</x:v>
      </x:c>
      <x:c r="F201" s="22" t="n">
        <x:v>3236000000</x:v>
      </x:c>
      <x:c r="G201" s="22" t="n">
        <x:v>3477000000</x:v>
      </x:c>
      <x:c r="H201" s="12" t="str">
        <x:v>Check Admin</x:v>
      </x:c>
      <x:c r="I201" s="14" t="str">
        <x:v>DA004</x:v>
      </x:c>
      <x:c r="J201" s="14" t="str">
        <x:v>LSP003</x:v>
      </x:c>
    </x:row>
    <x:row r="202" ht="15" hidden="0" customHeight="1">
      <x:c r="A202" s="14" t="str">
        <x:v>C5L3-10-16</x:v>
      </x:c>
      <x:c r="B202" s="18" t="n">
        <x:v>83.8</x:v>
      </x:c>
      <x:c r="C202" s="12" t="str">
        <x:v>ĐB - ĐN</x:v>
      </x:c>
      <x:c r="D202" s="22" t="n">
        <x:v>5876868106</x:v>
      </x:c>
      <x:c r="E202" s="22" t="n">
        <x:v>5517000000</x:v>
      </x:c>
      <x:c r="F202" s="22" t="n">
        <x:v>6102000000</x:v>
      </x:c>
      <x:c r="G202" s="22" t="n">
        <x:v>6557000000</x:v>
      </x:c>
      <x:c r="H202" s="12" t="str">
        <x:v>CDT thu căn</x:v>
      </x:c>
      <x:c r="I202" s="14" t="str">
        <x:v>DA004</x:v>
      </x:c>
      <x:c r="J202" s="14" t="str">
        <x:v>LSP006</x:v>
      </x:c>
    </x:row>
    <x:row r="203" ht="15" hidden="0" customHeight="1">
      <x:c r="A203" s="14" t="str">
        <x:v>C5L3-10-18A</x:v>
      </x:c>
      <x:c r="B203" s="18" t="n">
        <x:v>106.4</x:v>
      </x:c>
      <x:c r="C203" s="12" t="str">
        <x:v>TN - ĐN</x:v>
      </x:c>
      <x:c r="D203" s="22" t="n">
        <x:v>8256067142</x:v>
      </x:c>
      <x:c r="E203" s="22" t="n">
        <x:v>7751000000</x:v>
      </x:c>
      <x:c r="F203" s="22" t="n">
        <x:v>8572000000</x:v>
      </x:c>
      <x:c r="G203" s="22" t="n">
        <x:v>9212000000</x:v>
      </x:c>
      <x:c r="H203" s="12" t="str">
        <x:v>CDT thu căn</x:v>
      </x:c>
      <x:c r="I203" s="14" t="str">
        <x:v>DA004</x:v>
      </x:c>
      <x:c r="J203" s="14" t="str">
        <x:v>LSP008</x:v>
      </x:c>
    </x:row>
    <x:row r="204" ht="15" hidden="0" customHeight="1">
      <x:c r="A204" s="14" t="str">
        <x:v>C5L3-10-21</x:v>
      </x:c>
      <x:c r="B204" s="18" t="n">
        <x:v>31</x:v>
      </x:c>
      <x:c r="C204" s="12" t="str">
        <x:v>TN</x:v>
      </x:c>
      <x:c r="D204" s="22" t="n">
        <x:v>2501268821</x:v>
      </x:c>
      <x:c r="E204" s="22" t="n">
        <x:v>2348000000</x:v>
      </x:c>
      <x:c r="F204" s="22" t="n">
        <x:v>2597000000</x:v>
      </x:c>
      <x:c r="G204" s="22" t="n">
        <x:v>2763000000</x:v>
      </x:c>
      <x:c r="H204" s="12" t="str">
        <x:v>Đã bán</x:v>
      </x:c>
      <x:c r="I204" s="14" t="str">
        <x:v>DA004</x:v>
      </x:c>
      <x:c r="J204" s="14" t="str">
        <x:v>LSP001</x:v>
      </x:c>
    </x:row>
    <x:row r="205" ht="15" hidden="0" customHeight="1">
      <x:c r="A205" s="14" t="str">
        <x:v>C5L3-13-12</x:v>
      </x:c>
      <x:c r="B205" s="18" t="n">
        <x:v>47.5</x:v>
      </x:c>
      <x:c r="C205" s="12" t="str">
        <x:v>ĐB</x:v>
      </x:c>
      <x:c r="D205" s="22" t="n">
        <x:v>3318435073</x:v>
      </x:c>
      <x:c r="E205" s="22" t="n">
        <x:v>3115000000</x:v>
      </x:c>
      <x:c r="F205" s="22" t="n">
        <x:v>3445000000</x:v>
      </x:c>
      <x:c r="G205" s="22" t="n">
        <x:v>3702000000</x:v>
      </x:c>
      <x:c r="H205" s="12" t="str">
        <x:v>Check Admin</x:v>
      </x:c>
      <x:c r="I205" s="14" t="str">
        <x:v>DA004</x:v>
      </x:c>
      <x:c r="J205" s="14" t="str">
        <x:v>LSP003</x:v>
      </x:c>
    </x:row>
    <x:row r="206" ht="15" hidden="0" customHeight="1">
      <x:c r="A206" s="14" t="str">
        <x:v>C5L3-15-08A</x:v>
      </x:c>
      <x:c r="B206" s="18" t="n">
        <x:v>46.3</x:v>
      </x:c>
      <x:c r="C206" s="12" t="str">
        <x:v>TB</x:v>
      </x:c>
      <x:c r="D206" s="22" t="n">
        <x:v>3226379247</x:v>
      </x:c>
      <x:c r="E206" s="22" t="n">
        <x:v>3028000000</x:v>
      </x:c>
      <x:c r="F206" s="22" t="n">
        <x:v>3349000000</x:v>
      </x:c>
      <x:c r="G206" s="22" t="n">
        <x:v>3599000000</x:v>
      </x:c>
      <x:c r="H206" s="12" t="str">
        <x:v>Check Admin</x:v>
      </x:c>
      <x:c r="I206" s="14" t="str">
        <x:v>DA004</x:v>
      </x:c>
      <x:c r="J206" s="14" t="str">
        <x:v>LSP003</x:v>
      </x:c>
    </x:row>
    <x:row r="207" ht="15" hidden="0" customHeight="1">
      <x:c r="A207" s="14" t="str">
        <x:v>C5L3-17-08</x:v>
      </x:c>
      <x:c r="B207" s="18" t="n">
        <x:v>47.6</x:v>
      </x:c>
      <x:c r="C207" s="12" t="str">
        <x:v>ĐB</x:v>
      </x:c>
      <x:c r="D207" s="22" t="n">
        <x:v>3378357592</x:v>
      </x:c>
      <x:c r="E207" s="22" t="n">
        <x:v>3172000000</x:v>
      </x:c>
      <x:c r="F207" s="22" t="n">
        <x:v>3508000000</x:v>
      </x:c>
      <x:c r="G207" s="22" t="n">
        <x:v>3732000000</x:v>
      </x:c>
      <x:c r="H207" s="12" t="str">
        <x:v>Check Admin</x:v>
      </x:c>
      <x:c r="I207" s="14" t="str">
        <x:v>DA004</x:v>
      </x:c>
      <x:c r="J207" s="14" t="str">
        <x:v>LSP003</x:v>
      </x:c>
    </x:row>
    <x:row r="208" ht="15" hidden="0" customHeight="1">
      <x:c r="A208" s="14" t="str">
        <x:v>C5L3-17-08A</x:v>
      </x:c>
      <x:c r="B208" s="18" t="n">
        <x:v>46.3</x:v>
      </x:c>
      <x:c r="C208" s="12" t="str">
        <x:v>ĐB</x:v>
      </x:c>
      <x:c r="D208" s="22" t="n">
        <x:v>3248957998</x:v>
      </x:c>
      <x:c r="E208" s="22" t="n">
        <x:v>3050000000</x:v>
      </x:c>
      <x:c r="F208" s="22" t="n">
        <x:v>3373000000</x:v>
      </x:c>
      <x:c r="G208" s="22" t="n">
        <x:v>3589000000</x:v>
      </x:c>
      <x:c r="H208" s="12" t="str">
        <x:v>Check Admin</x:v>
      </x:c>
      <x:c r="I208" s="14" t="str">
        <x:v>DA004</x:v>
      </x:c>
      <x:c r="J208" s="14" t="str">
        <x:v>LSP003</x:v>
      </x:c>
    </x:row>
    <x:row r="209" ht="15" hidden="0" customHeight="1">
      <x:c r="A209" s="14" t="str">
        <x:v>C5L3-10-15A</x:v>
      </x:c>
      <x:c r="B209" s="18" t="n">
        <x:v>65.7</x:v>
      </x:c>
      <x:c r="C209" s="12" t="str">
        <x:v>ĐB</x:v>
      </x:c>
      <x:c r="D209" s="22" t="n">
        <x:v>4533947539</x:v>
      </x:c>
      <x:c r="E209" s="22" t="n">
        <x:v>4257000000</x:v>
      </x:c>
      <x:c r="F209" s="22" t="n">
        <x:v>4708000000</x:v>
      </x:c>
      <x:c r="G209" s="22" t="n">
        <x:v>5008000000</x:v>
      </x:c>
      <x:c r="H209" s="12" t="str">
        <x:v>Check Admin</x:v>
      </x:c>
      <x:c r="I209" s="14" t="str">
        <x:v>DA004</x:v>
      </x:c>
      <x:c r="J209" s="14" t="str">
        <x:v>LSP005</x:v>
      </x:c>
    </x:row>
    <x:row r="210" ht="15" hidden="0" customHeight="1">
      <x:c r="A210" s="14" t="str">
        <x:v>C5L3-10-02</x:v>
      </x:c>
      <x:c r="B210" s="18" t="n">
        <x:v>72.8</x:v>
      </x:c>
      <x:c r="C210" s="12" t="str">
        <x:v>TN</x:v>
      </x:c>
      <x:c r="D210" s="22" t="n">
        <x:v>5293870182</x:v>
      </x:c>
      <x:c r="E210" s="22" t="n">
        <x:v>4970000000</x:v>
      </x:c>
      <x:c r="F210" s="22" t="n">
        <x:v>5496000000</x:v>
      </x:c>
      <x:c r="G210" s="22" t="n">
        <x:v>5848000000</x:v>
      </x:c>
      <x:c r="H210" s="12" t="str">
        <x:v>Check Admin</x:v>
      </x:c>
      <x:c r="I210" s="14" t="str">
        <x:v>DA004</x:v>
      </x:c>
      <x:c r="J210" s="14" t="str">
        <x:v>LSP006</x:v>
      </x:c>
    </x:row>
    <x:row r="211" ht="15" hidden="0" customHeight="1">
      <x:c r="A211" s="14" t="str">
        <x:v>C5L3-17-03</x:v>
      </x:c>
      <x:c r="B211" s="18" t="n">
        <x:v>130.4</x:v>
      </x:c>
      <x:c r="C211" s="12" t="str">
        <x:v>TN - TB</x:v>
      </x:c>
      <x:c r="D211" s="22" t="n">
        <x:v>9972815178</x:v>
      </x:c>
      <x:c r="E211" s="22" t="n">
        <x:v>9363000000</x:v>
      </x:c>
      <x:c r="F211" s="22" t="n">
        <x:v>10355000000</x:v>
      </x:c>
      <x:c r="G211" s="22" t="n">
        <x:v>11016000000</x:v>
      </x:c>
      <x:c r="H211" s="12" t="str">
        <x:v>Check Admin</x:v>
      </x:c>
      <x:c r="I211" s="14" t="str">
        <x:v>DA004</x:v>
      </x:c>
      <x:c r="J211" s="14" t="str">
        <x:v>LSP010</x:v>
      </x:c>
    </x:row>
    <x:row r="212" ht="15" hidden="0" customHeight="1">
      <x:c r="A212" s="14" t="str">
        <x:v>C5L3-17-05A</x:v>
      </x:c>
      <x:c r="B212" s="18" t="n">
        <x:v>70.7</x:v>
      </x:c>
      <x:c r="C212" s="12" t="str">
        <x:v>ĐB - TB</x:v>
      </x:c>
      <x:c r="D212" s="22" t="n">
        <x:v>5079531996</x:v>
      </x:c>
      <x:c r="E212" s="22" t="n">
        <x:v>4768000000</x:v>
      </x:c>
      <x:c r="F212" s="22" t="n">
        <x:v>5274000000</x:v>
      </x:c>
      <x:c r="G212" s="22" t="n">
        <x:v>5667000000</x:v>
      </x:c>
      <x:c r="H212" s="12" t="str">
        <x:v>Check Admin</x:v>
      </x:c>
      <x:c r="I212" s="14" t="str">
        <x:v>DA004</x:v>
      </x:c>
      <x:c r="J212" s="14" t="str">
        <x:v>LSP005</x:v>
      </x:c>
    </x:row>
    <x:row r="213" ht="15" hidden="0" customHeight="1">
      <x:c r="A213" s="14" t="str">
        <x:v>C5L3-10-05</x:v>
      </x:c>
      <x:c r="B213" s="18" t="n">
        <x:v>31.6</x:v>
      </x:c>
      <x:c r="C213" s="12" t="str">
        <x:v>TB</x:v>
      </x:c>
      <x:c r="D213" s="22" t="n">
        <x:v>2238533667</x:v>
      </x:c>
      <x:c r="E213" s="22" t="n">
        <x:v>2102000000</x:v>
      </x:c>
      <x:c r="F213" s="22" t="n">
        <x:v>2324000000</x:v>
      </x:c>
      <x:c r="G213" s="22" t="n">
        <x:v>2473000000</x:v>
      </x:c>
      <x:c r="H213" s="12" t="str">
        <x:v>Check Admin</x:v>
      </x:c>
      <x:c r="I213" s="14" t="str">
        <x:v>DA004</x:v>
      </x:c>
      <x:c r="J213" s="14" t="str">
        <x:v>LSP001</x:v>
      </x:c>
    </x:row>
    <x:row r="214" ht="15" hidden="0" customHeight="1">
      <x:c r="A214" s="14" t="str">
        <x:v>C5L3-17-01</x:v>
      </x:c>
      <x:c r="B214" s="18" t="n">
        <x:v>32.6</x:v>
      </x:c>
      <x:c r="C214" s="12" t="str">
        <x:v>TN</x:v>
      </x:c>
      <x:c r="D214" s="22" t="n">
        <x:v>2557980483</x:v>
      </x:c>
      <x:c r="E214" s="22" t="n">
        <x:v>2402000000</x:v>
      </x:c>
      <x:c r="F214" s="22" t="n">
        <x:v>2657000000</x:v>
      </x:c>
      <x:c r="G214" s="22" t="n">
        <x:v>2826000000</x:v>
      </x:c>
      <x:c r="H214" s="12" t="str">
        <x:v>Check Admin</x:v>
      </x:c>
      <x:c r="I214" s="14" t="str">
        <x:v>DA004</x:v>
      </x:c>
      <x:c r="J214" s="14" t="str">
        <x:v>LSP001</x:v>
      </x:c>
    </x:row>
    <x:row r="215" ht="15" hidden="0" customHeight="1">
      <x:c r="A215" s="14" t="str">
        <x:v>C5L3-17-09</x:v>
      </x:c>
      <x:c r="B215" s="18" t="n">
        <x:v>73.5</x:v>
      </x:c>
      <x:c r="C215" s="12" t="str">
        <x:v>ĐB</x:v>
      </x:c>
      <x:c r="D215" s="22" t="n">
        <x:v>4867771010</x:v>
      </x:c>
      <x:c r="E215" s="22" t="n">
        <x:v>4569000000</x:v>
      </x:c>
      <x:c r="F215" s="22" t="n">
        <x:v>5054000000</x:v>
      </x:c>
      <x:c r="G215" s="22" t="n">
        <x:v>5431000000</x:v>
      </x:c>
      <x:c r="H215" s="12" t="str">
        <x:v>Check Admin</x:v>
      </x:c>
      <x:c r="I215" s="14" t="str">
        <x:v>DA004</x:v>
      </x:c>
      <x:c r="J215" s="14" t="str">
        <x:v>LSP006</x:v>
      </x:c>
    </x:row>
    <x:row r="216" ht="15" hidden="0" customHeight="1">
      <x:c r="A216" s="14" t="str">
        <x:v>C5L3-17-11</x:v>
      </x:c>
      <x:c r="B216" s="18" t="n">
        <x:v>65.7</x:v>
      </x:c>
      <x:c r="C216" s="12" t="str">
        <x:v>ĐB</x:v>
      </x:c>
      <x:c r="D216" s="22" t="n">
        <x:v>4657527991</x:v>
      </x:c>
      <x:c r="E216" s="22" t="n">
        <x:v>4373000000</x:v>
      </x:c>
      <x:c r="F216" s="22" t="n">
        <x:v>4836000000</x:v>
      </x:c>
      <x:c r="G216" s="22" t="n">
        <x:v>5197000000</x:v>
      </x:c>
      <x:c r="H216" s="12" t="str">
        <x:v>Check Admin</x:v>
      </x:c>
      <x:c r="I216" s="14" t="str">
        <x:v>DA004</x:v>
      </x:c>
      <x:c r="J216" s="14" t="str">
        <x:v>LSP005</x:v>
      </x:c>
    </x:row>
    <x:row r="217" ht="15" hidden="0" customHeight="1">
      <x:c r="A217" s="14" t="str">
        <x:v>C5L3-17-15</x:v>
      </x:c>
      <x:c r="B217" s="18" t="n">
        <x:v>31.2</x:v>
      </x:c>
      <x:c r="C217" s="12" t="str">
        <x:v>ĐB</x:v>
      </x:c>
      <x:c r="D217" s="22" t="n">
        <x:v>2351966386</x:v>
      </x:c>
      <x:c r="E217" s="22" t="n">
        <x:v>2208000000</x:v>
      </x:c>
      <x:c r="F217" s="22" t="n">
        <x:v>2442000000</x:v>
      </x:c>
      <x:c r="G217" s="22" t="n">
        <x:v>2598000000</x:v>
      </x:c>
      <x:c r="H217" s="12" t="str">
        <x:v>Check Admin</x:v>
      </x:c>
      <x:c r="I217" s="14" t="str">
        <x:v>DA004</x:v>
      </x:c>
      <x:c r="J217" s="14" t="str">
        <x:v>LSP001</x:v>
      </x:c>
    </x:row>
    <x:row r="218" ht="15" hidden="0" customHeight="1">
      <x:c r="A218" s="14" t="str">
        <x:v>C5L3-17-18</x:v>
      </x:c>
      <x:c r="B218" s="18" t="n">
        <x:v>30.7</x:v>
      </x:c>
      <x:c r="C218" s="12" t="str">
        <x:v>TN</x:v>
      </x:c>
      <x:c r="D218" s="22" t="n">
        <x:v>2577955597</x:v>
      </x:c>
      <x:c r="E218" s="22" t="n">
        <x:v>2420000000</x:v>
      </x:c>
      <x:c r="F218" s="22" t="n">
        <x:v>2677000000</x:v>
      </x:c>
      <x:c r="G218" s="22" t="n">
        <x:v>2848000000</x:v>
      </x:c>
      <x:c r="H218" s="12" t="str">
        <x:v>Đã bán</x:v>
      </x:c>
      <x:c r="I218" s="14" t="str">
        <x:v>DA004</x:v>
      </x:c>
      <x:c r="J218" s="14" t="str">
        <x:v>LSP001</x:v>
      </x:c>
    </x:row>
    <x:row r="219" ht="15" hidden="0" customHeight="1">
      <x:c r="A219" s="14" t="str">
        <x:v>C5L3-17-19</x:v>
      </x:c>
      <x:c r="B219" s="18" t="n">
        <x:v>72.9</x:v>
      </x:c>
      <x:c r="C219" s="12" t="str">
        <x:v>TN</x:v>
      </x:c>
      <x:c r="D219" s="22" t="n">
        <x:v>5758106154</x:v>
      </x:c>
      <x:c r="E219" s="22" t="n">
        <x:v>5406000000</x:v>
      </x:c>
      <x:c r="F219" s="22" t="n">
        <x:v>5979000000</x:v>
      </x:c>
      <x:c r="G219" s="22" t="n">
        <x:v>6425000000</x:v>
      </x:c>
      <x:c r="H219" s="12" t="str">
        <x:v>CDT thu căn</x:v>
      </x:c>
      <x:c r="I219" s="14" t="str">
        <x:v>DA004</x:v>
      </x:c>
      <x:c r="J219" s="14" t="str">
        <x:v>LSP006</x:v>
      </x:c>
    </x:row>
    <x:row r="220" ht="15" hidden="0" customHeight="1">
      <x:c r="A220" s="14" t="str">
        <x:v>C5L3-17-20</x:v>
      </x:c>
      <x:c r="B220" s="18" t="n">
        <x:v>47.8</x:v>
      </x:c>
      <x:c r="C220" s="12" t="str">
        <x:v>TN</x:v>
      </x:c>
      <x:c r="D220" s="22" t="n">
        <x:v>3911795646</x:v>
      </x:c>
      <x:c r="E220" s="22" t="n">
        <x:v>3673000000</x:v>
      </x:c>
      <x:c r="F220" s="22" t="n">
        <x:v>4061000000</x:v>
      </x:c>
      <x:c r="G220" s="22" t="n">
        <x:v>4322000000</x:v>
      </x:c>
      <x:c r="H220" s="12" t="str">
        <x:v>Đã bán</x:v>
      </x:c>
      <x:c r="I220" s="14" t="str">
        <x:v>DA004</x:v>
      </x:c>
      <x:c r="J220" s="14" t="str">
        <x:v>LSP003</x:v>
      </x:c>
    </x:row>
    <x:row r="221">
      <x:c r="A221" s="15"/>
      <x:c r="B221" s="19"/>
      <x:c r="D221" s="23"/>
      <x:c r="E221" s="23"/>
      <x:c r="F221" s="23"/>
      <x:c r="G221" s="23"/>
    </x:row>
    <x:row r="222">
      <x:c r="A222" s="15"/>
      <x:c r="B222" s="19"/>
      <x:c r="D222" s="23"/>
      <x:c r="E222" s="23"/>
      <x:c r="F222" s="23"/>
      <x:c r="G222" s="23"/>
    </x:row>
    <x:row r="223">
      <x:c r="A223" s="15"/>
      <x:c r="B223" s="19"/>
      <x:c r="D223" s="23"/>
      <x:c r="E223" s="23"/>
      <x:c r="F223" s="23"/>
      <x:c r="G223" s="23"/>
    </x:row>
    <x:row r="224">
      <x:c r="A224" s="15"/>
      <x:c r="B224" s="19"/>
      <x:c r="D224" s="23"/>
      <x:c r="E224" s="23"/>
      <x:c r="F224" s="23"/>
      <x:c r="G224" s="23"/>
    </x:row>
    <x:row r="225">
      <x:c r="A225" s="15"/>
      <x:c r="B225" s="19"/>
      <x:c r="D225" s="23"/>
      <x:c r="E225" s="23"/>
      <x:c r="F225" s="23"/>
      <x:c r="G225" s="23"/>
    </x:row>
    <x:row r="226">
      <x:c r="A226" s="15"/>
      <x:c r="B226" s="19"/>
      <x:c r="D226" s="23"/>
      <x:c r="E226" s="23"/>
      <x:c r="F226" s="23"/>
      <x:c r="G226" s="23"/>
    </x:row>
    <x:row r="227">
      <x:c r="A227" s="15"/>
      <x:c r="B227" s="19"/>
      <x:c r="D227" s="23"/>
      <x:c r="E227" s="23"/>
      <x:c r="F227" s="23"/>
      <x:c r="G227" s="23"/>
    </x:row>
    <x:row r="228">
      <x:c r="A228" s="15"/>
      <x:c r="B228" s="19"/>
      <x:c r="D228" s="23"/>
      <x:c r="E228" s="23"/>
      <x:c r="F228" s="23"/>
      <x:c r="G228" s="23"/>
    </x:row>
    <x:row r="229">
      <x:c r="A229" s="15"/>
      <x:c r="B229" s="19"/>
      <x:c r="D229" s="23"/>
      <x:c r="E229" s="23"/>
      <x:c r="F229" s="23"/>
      <x:c r="G229" s="23"/>
    </x:row>
    <x:row r="230">
      <x:c r="A230" s="15"/>
      <x:c r="B230" s="19"/>
      <x:c r="D230" s="23"/>
      <x:c r="E230" s="23"/>
      <x:c r="F230" s="23"/>
      <x:c r="G230" s="23"/>
    </x:row>
    <x:row r="231">
      <x:c r="A231" s="15"/>
      <x:c r="B231" s="19"/>
      <x:c r="D231" s="23"/>
      <x:c r="E231" s="23"/>
      <x:c r="F231" s="23"/>
      <x:c r="G231" s="23"/>
    </x:row>
    <x:row r="232">
      <x:c r="A232" s="15"/>
      <x:c r="B232" s="19"/>
      <x:c r="D232" s="23"/>
      <x:c r="E232" s="23"/>
      <x:c r="F232" s="23"/>
      <x:c r="G232" s="23"/>
    </x:row>
    <x:row r="233">
      <x:c r="A233" s="15"/>
      <x:c r="B233" s="19"/>
      <x:c r="D233" s="23"/>
      <x:c r="E233" s="23"/>
      <x:c r="F233" s="23"/>
      <x:c r="G233" s="23"/>
    </x:row>
    <x:row r="234">
      <x:c r="A234" s="15"/>
      <x:c r="B234" s="19"/>
      <x:c r="D234" s="23"/>
      <x:c r="E234" s="23"/>
      <x:c r="F234" s="23"/>
      <x:c r="G234" s="23"/>
    </x:row>
    <x:row r="235">
      <x:c r="A235" s="15"/>
      <x:c r="B235" s="19"/>
      <x:c r="D235" s="23"/>
      <x:c r="E235" s="23"/>
      <x:c r="F235" s="23"/>
      <x:c r="G235" s="23"/>
    </x:row>
    <x:row r="236">
      <x:c r="A236" s="15"/>
      <x:c r="B236" s="19"/>
      <x:c r="D236" s="23"/>
      <x:c r="E236" s="23"/>
      <x:c r="F236" s="23"/>
      <x:c r="G236" s="23"/>
    </x:row>
    <x:row r="237">
      <x:c r="A237" s="15"/>
      <x:c r="B237" s="19"/>
      <x:c r="D237" s="23"/>
      <x:c r="E237" s="23"/>
      <x:c r="F237" s="23"/>
      <x:c r="G237" s="23"/>
    </x:row>
    <x:row r="238">
      <x:c r="A238" s="15"/>
      <x:c r="B238" s="19"/>
      <x:c r="D238" s="23"/>
      <x:c r="E238" s="23"/>
      <x:c r="F238" s="23"/>
      <x:c r="G238" s="23"/>
    </x:row>
    <x:row r="239">
      <x:c r="A239" s="15"/>
      <x:c r="B239" s="19"/>
      <x:c r="D239" s="23"/>
      <x:c r="E239" s="23"/>
      <x:c r="F239" s="23"/>
      <x:c r="G239" s="23"/>
    </x:row>
    <x:row r="240">
      <x:c r="A240" s="15"/>
      <x:c r="B240" s="19"/>
      <x:c r="D240" s="23"/>
      <x:c r="E240" s="23"/>
      <x:c r="F240" s="23"/>
      <x:c r="G240" s="23"/>
    </x:row>
    <x:row r="241">
      <x:c r="A241" s="15"/>
      <x:c r="B241" s="19"/>
      <x:c r="D241" s="23"/>
      <x:c r="E241" s="23"/>
      <x:c r="F241" s="23"/>
      <x:c r="G241" s="23"/>
    </x:row>
    <x:row r="242">
      <x:c r="A242" s="15"/>
      <x:c r="B242" s="19"/>
      <x:c r="D242" s="23"/>
      <x:c r="E242" s="23"/>
      <x:c r="F242" s="23"/>
      <x:c r="G242" s="23"/>
    </x:row>
    <x:row r="243">
      <x:c r="A243" s="15"/>
      <x:c r="B243" s="19"/>
      <x:c r="D243" s="23"/>
      <x:c r="E243" s="23"/>
      <x:c r="F243" s="23"/>
      <x:c r="G243" s="23"/>
    </x:row>
    <x:row r="244">
      <x:c r="A244" s="15"/>
      <x:c r="B244" s="19"/>
      <x:c r="D244" s="23"/>
      <x:c r="E244" s="23"/>
      <x:c r="F244" s="23"/>
      <x:c r="G244" s="23"/>
    </x:row>
    <x:row r="245">
      <x:c r="A245" s="15"/>
      <x:c r="B245" s="19"/>
      <x:c r="D245" s="23"/>
      <x:c r="E245" s="23"/>
      <x:c r="F245" s="23"/>
      <x:c r="G245" s="23"/>
    </x:row>
    <x:row r="246">
      <x:c r="A246" s="15"/>
      <x:c r="B246" s="19"/>
      <x:c r="D246" s="23"/>
      <x:c r="E246" s="23"/>
      <x:c r="F246" s="23"/>
      <x:c r="G246" s="23"/>
    </x:row>
    <x:row r="247">
      <x:c r="A247" s="15"/>
      <x:c r="B247" s="19"/>
      <x:c r="D247" s="23"/>
      <x:c r="E247" s="23"/>
      <x:c r="F247" s="23"/>
      <x:c r="G247" s="23"/>
    </x:row>
    <x:row r="248">
      <x:c r="A248" s="15"/>
      <x:c r="B248" s="19"/>
      <x:c r="D248" s="23"/>
      <x:c r="E248" s="23"/>
      <x:c r="F248" s="23"/>
      <x:c r="G248" s="23"/>
    </x:row>
    <x:row r="249">
      <x:c r="A249" s="15"/>
      <x:c r="B249" s="19"/>
      <x:c r="D249" s="23"/>
      <x:c r="E249" s="23"/>
      <x:c r="F249" s="23"/>
      <x:c r="G249" s="23"/>
    </x:row>
    <x:row r="250">
      <x:c r="A250" s="15"/>
      <x:c r="B250" s="19"/>
      <x:c r="D250" s="23"/>
      <x:c r="E250" s="23"/>
      <x:c r="F250" s="23"/>
      <x:c r="G250" s="23"/>
    </x:row>
    <x:row r="251">
      <x:c r="A251" s="15"/>
      <x:c r="B251" s="19"/>
      <x:c r="D251" s="23"/>
      <x:c r="E251" s="23"/>
      <x:c r="F251" s="23"/>
      <x:c r="G251" s="23"/>
    </x:row>
    <x:row r="252">
      <x:c r="A252" s="15"/>
      <x:c r="B252" s="19"/>
      <x:c r="D252" s="23"/>
      <x:c r="E252" s="23"/>
      <x:c r="F252" s="23"/>
      <x:c r="G252" s="23"/>
    </x:row>
    <x:row r="253">
      <x:c r="A253" s="15"/>
      <x:c r="B253" s="19"/>
      <x:c r="D253" s="23"/>
      <x:c r="E253" s="23"/>
      <x:c r="F253" s="23"/>
      <x:c r="G253" s="23"/>
    </x:row>
    <x:row r="254">
      <x:c r="A254" s="15"/>
      <x:c r="B254" s="19"/>
      <x:c r="D254" s="23"/>
      <x:c r="E254" s="23"/>
      <x:c r="F254" s="23"/>
      <x:c r="G254" s="23"/>
    </x:row>
    <x:row r="255">
      <x:c r="A255" s="15"/>
      <x:c r="B255" s="19"/>
      <x:c r="D255" s="23"/>
      <x:c r="E255" s="23"/>
      <x:c r="F255" s="23"/>
      <x:c r="G255" s="23"/>
    </x:row>
    <x:row r="256">
      <x:c r="A256" s="15"/>
      <x:c r="B256" s="19"/>
      <x:c r="D256" s="23"/>
      <x:c r="E256" s="23"/>
      <x:c r="F256" s="23"/>
      <x:c r="G256" s="23"/>
    </x:row>
    <x:row r="257">
      <x:c r="A257" s="15"/>
      <x:c r="B257" s="19"/>
      <x:c r="D257" s="23"/>
      <x:c r="E257" s="23"/>
      <x:c r="F257" s="23"/>
      <x:c r="G257" s="23"/>
    </x:row>
    <x:row r="258">
      <x:c r="A258" s="15"/>
      <x:c r="B258" s="19"/>
      <x:c r="D258" s="23"/>
      <x:c r="E258" s="23"/>
      <x:c r="F258" s="23"/>
      <x:c r="G258" s="23"/>
    </x:row>
    <x:row r="259">
      <x:c r="A259" s="15"/>
      <x:c r="B259" s="19"/>
      <x:c r="D259" s="23"/>
      <x:c r="E259" s="23"/>
      <x:c r="F259" s="23"/>
      <x:c r="G259" s="23"/>
    </x:row>
    <x:row r="260">
      <x:c r="A260" s="15"/>
      <x:c r="B260" s="19"/>
      <x:c r="D260" s="23"/>
      <x:c r="E260" s="23"/>
      <x:c r="F260" s="23"/>
      <x:c r="G260" s="23"/>
    </x:row>
    <x:row r="261">
      <x:c r="A261" s="15"/>
      <x:c r="B261" s="19"/>
      <x:c r="D261" s="23"/>
      <x:c r="E261" s="23"/>
      <x:c r="F261" s="23"/>
      <x:c r="G261" s="23"/>
    </x:row>
    <x:row r="262">
      <x:c r="A262" s="15"/>
      <x:c r="B262" s="19"/>
      <x:c r="D262" s="23"/>
      <x:c r="E262" s="23"/>
      <x:c r="F262" s="23"/>
      <x:c r="G262" s="23"/>
    </x:row>
    <x:row r="263">
      <x:c r="A263" s="15"/>
      <x:c r="B263" s="19"/>
      <x:c r="D263" s="23"/>
      <x:c r="E263" s="23"/>
      <x:c r="F263" s="23"/>
      <x:c r="G263" s="23"/>
    </x:row>
    <x:row r="264">
      <x:c r="A264" s="15"/>
      <x:c r="B264" s="19"/>
      <x:c r="D264" s="23"/>
      <x:c r="E264" s="23"/>
      <x:c r="F264" s="23"/>
      <x:c r="G264" s="23"/>
    </x:row>
    <x:row r="265">
      <x:c r="A265" s="15"/>
      <x:c r="B265" s="19"/>
      <x:c r="D265" s="23"/>
      <x:c r="E265" s="23"/>
      <x:c r="F265" s="23"/>
      <x:c r="G265" s="23"/>
    </x:row>
    <x:row r="266">
      <x:c r="A266" s="15"/>
      <x:c r="B266" s="19"/>
      <x:c r="D266" s="23"/>
      <x:c r="E266" s="23"/>
      <x:c r="F266" s="23"/>
      <x:c r="G266" s="23"/>
    </x:row>
    <x:row r="267">
      <x:c r="A267" s="15"/>
      <x:c r="B267" s="19"/>
      <x:c r="D267" s="23"/>
      <x:c r="E267" s="23"/>
      <x:c r="F267" s="23"/>
      <x:c r="G267" s="23"/>
    </x:row>
    <x:row r="268">
      <x:c r="A268" s="15"/>
      <x:c r="B268" s="19"/>
      <x:c r="D268" s="23"/>
      <x:c r="E268" s="23"/>
      <x:c r="F268" s="23"/>
      <x:c r="G268" s="23"/>
    </x:row>
    <x:row r="269">
      <x:c r="A269" s="15"/>
      <x:c r="B269" s="19"/>
      <x:c r="D269" s="23"/>
      <x:c r="E269" s="23"/>
      <x:c r="F269" s="23"/>
      <x:c r="G269" s="23"/>
    </x:row>
    <x:row r="270">
      <x:c r="A270" s="15"/>
      <x:c r="B270" s="19"/>
      <x:c r="D270" s="23"/>
      <x:c r="E270" s="23"/>
      <x:c r="F270" s="23"/>
      <x:c r="G270" s="23"/>
    </x:row>
    <x:row r="271">
      <x:c r="A271" s="15"/>
      <x:c r="B271" s="19"/>
      <x:c r="D271" s="23"/>
      <x:c r="E271" s="23"/>
      <x:c r="F271" s="23"/>
      <x:c r="G271" s="23"/>
    </x:row>
    <x:row r="272">
      <x:c r="A272" s="15"/>
      <x:c r="B272" s="19"/>
      <x:c r="D272" s="23"/>
      <x:c r="E272" s="23"/>
      <x:c r="F272" s="23"/>
      <x:c r="G272" s="23"/>
    </x:row>
    <x:row r="273">
      <x:c r="A273" s="15"/>
      <x:c r="B273" s="19"/>
      <x:c r="D273" s="23"/>
      <x:c r="E273" s="23"/>
      <x:c r="F273" s="23"/>
      <x:c r="G273" s="23"/>
    </x:row>
    <x:row r="274">
      <x:c r="A274" s="15"/>
      <x:c r="B274" s="19"/>
      <x:c r="D274" s="23"/>
      <x:c r="E274" s="23"/>
      <x:c r="F274" s="23"/>
      <x:c r="G274" s="23"/>
    </x:row>
    <x:row r="275">
      <x:c r="A275" s="15"/>
      <x:c r="B275" s="19"/>
      <x:c r="D275" s="23"/>
      <x:c r="E275" s="23"/>
      <x:c r="F275" s="23"/>
      <x:c r="G275" s="23"/>
    </x:row>
    <x:row r="276">
      <x:c r="A276" s="15"/>
      <x:c r="B276" s="19"/>
      <x:c r="D276" s="23"/>
      <x:c r="E276" s="23"/>
      <x:c r="F276" s="23"/>
      <x:c r="G276" s="23"/>
    </x:row>
    <x:row r="277">
      <x:c r="A277" s="15"/>
      <x:c r="B277" s="19"/>
      <x:c r="D277" s="23"/>
      <x:c r="E277" s="23"/>
      <x:c r="F277" s="23"/>
      <x:c r="G277" s="23"/>
    </x:row>
    <x:row r="278">
      <x:c r="A278" s="15"/>
      <x:c r="B278" s="19"/>
      <x:c r="D278" s="23"/>
      <x:c r="E278" s="23"/>
      <x:c r="F278" s="23"/>
      <x:c r="G278" s="23"/>
    </x:row>
    <x:row r="279">
      <x:c r="A279" s="15"/>
      <x:c r="B279" s="19"/>
      <x:c r="D279" s="23"/>
      <x:c r="E279" s="23"/>
      <x:c r="F279" s="23"/>
      <x:c r="G279" s="23"/>
    </x:row>
    <x:row r="280">
      <x:c r="A280" s="15"/>
      <x:c r="B280" s="19"/>
      <x:c r="D280" s="23"/>
      <x:c r="E280" s="23"/>
      <x:c r="F280" s="23"/>
      <x:c r="G280" s="23"/>
    </x:row>
    <x:row r="281">
      <x:c r="A281" s="15"/>
      <x:c r="B281" s="19"/>
      <x:c r="D281" s="23"/>
      <x:c r="E281" s="23"/>
      <x:c r="F281" s="23"/>
      <x:c r="G281" s="23"/>
    </x:row>
    <x:row r="282">
      <x:c r="A282" s="15"/>
      <x:c r="B282" s="19"/>
      <x:c r="D282" s="23"/>
      <x:c r="E282" s="23"/>
      <x:c r="F282" s="23"/>
      <x:c r="G282" s="23"/>
    </x:row>
    <x:row r="283">
      <x:c r="A283" s="15"/>
      <x:c r="B283" s="19"/>
      <x:c r="D283" s="23"/>
      <x:c r="E283" s="23"/>
      <x:c r="F283" s="23"/>
      <x:c r="G283" s="23"/>
    </x:row>
    <x:row r="284">
      <x:c r="A284" s="15"/>
      <x:c r="B284" s="19"/>
      <x:c r="D284" s="23"/>
      <x:c r="E284" s="23"/>
      <x:c r="F284" s="23"/>
      <x:c r="G284" s="23"/>
    </x:row>
    <x:row r="285">
      <x:c r="A285" s="15"/>
      <x:c r="B285" s="19"/>
      <x:c r="D285" s="23"/>
      <x:c r="E285" s="23"/>
      <x:c r="F285" s="23"/>
      <x:c r="G285" s="23"/>
    </x:row>
    <x:row r="286">
      <x:c r="A286" s="15"/>
      <x:c r="B286" s="19"/>
      <x:c r="D286" s="23"/>
      <x:c r="E286" s="23"/>
      <x:c r="F286" s="23"/>
      <x:c r="G286" s="23"/>
    </x:row>
    <x:row r="287">
      <x:c r="A287" s="15"/>
      <x:c r="B287" s="19"/>
      <x:c r="D287" s="23"/>
      <x:c r="E287" s="23"/>
      <x:c r="F287" s="23"/>
      <x:c r="G287" s="23"/>
    </x:row>
    <x:row r="288">
      <x:c r="A288" s="15"/>
      <x:c r="B288" s="19"/>
      <x:c r="D288" s="23"/>
      <x:c r="E288" s="23"/>
      <x:c r="F288" s="23"/>
      <x:c r="G288" s="23"/>
    </x:row>
    <x:row r="289">
      <x:c r="A289" s="15"/>
      <x:c r="B289" s="19"/>
      <x:c r="D289" s="23"/>
      <x:c r="E289" s="23"/>
      <x:c r="F289" s="23"/>
      <x:c r="G289" s="23"/>
    </x:row>
    <x:row r="290">
      <x:c r="A290" s="15"/>
      <x:c r="B290" s="19"/>
      <x:c r="D290" s="23"/>
      <x:c r="E290" s="23"/>
      <x:c r="F290" s="23"/>
      <x:c r="G290" s="23"/>
    </x:row>
    <x:row r="291">
      <x:c r="A291" s="15"/>
      <x:c r="B291" s="19"/>
      <x:c r="D291" s="23"/>
      <x:c r="E291" s="23"/>
      <x:c r="F291" s="23"/>
      <x:c r="G291" s="23"/>
    </x:row>
    <x:row r="292">
      <x:c r="A292" s="15"/>
      <x:c r="B292" s="19"/>
      <x:c r="D292" s="23"/>
      <x:c r="E292" s="23"/>
      <x:c r="F292" s="23"/>
      <x:c r="G292" s="23"/>
    </x:row>
    <x:row r="293">
      <x:c r="A293" s="15"/>
      <x:c r="B293" s="19"/>
      <x:c r="D293" s="23"/>
      <x:c r="E293" s="23"/>
      <x:c r="F293" s="23"/>
      <x:c r="G293" s="23"/>
    </x:row>
    <x:row r="294">
      <x:c r="A294" s="15"/>
      <x:c r="B294" s="19"/>
      <x:c r="D294" s="23"/>
      <x:c r="E294" s="23"/>
      <x:c r="F294" s="23"/>
      <x:c r="G294" s="23"/>
    </x:row>
    <x:row r="295">
      <x:c r="A295" s="15"/>
      <x:c r="B295" s="19"/>
      <x:c r="D295" s="23"/>
      <x:c r="E295" s="23"/>
      <x:c r="F295" s="23"/>
      <x:c r="G295" s="23"/>
    </x:row>
    <x:row r="296">
      <x:c r="A296" s="15"/>
      <x:c r="B296" s="19"/>
      <x:c r="D296" s="23"/>
      <x:c r="E296" s="23"/>
      <x:c r="F296" s="23"/>
      <x:c r="G296" s="23"/>
    </x:row>
    <x:row r="297">
      <x:c r="A297" s="15"/>
      <x:c r="B297" s="19"/>
      <x:c r="D297" s="23"/>
      <x:c r="E297" s="23"/>
      <x:c r="F297" s="23"/>
      <x:c r="G297" s="23"/>
    </x:row>
    <x:row r="298">
      <x:c r="A298" s="15"/>
      <x:c r="B298" s="19"/>
      <x:c r="D298" s="23"/>
      <x:c r="E298" s="23"/>
      <x:c r="F298" s="23"/>
      <x:c r="G298" s="23"/>
    </x:row>
    <x:row r="299">
      <x:c r="A299" s="15"/>
      <x:c r="B299" s="19"/>
      <x:c r="D299" s="23"/>
      <x:c r="E299" s="23"/>
      <x:c r="F299" s="23"/>
      <x:c r="G299" s="23"/>
    </x:row>
    <x:row r="300">
      <x:c r="A300" s="15"/>
      <x:c r="B300" s="19"/>
      <x:c r="D300" s="23"/>
      <x:c r="E300" s="23"/>
      <x:c r="F300" s="23"/>
      <x:c r="G300" s="23"/>
    </x:row>
    <x:row r="301">
      <x:c r="A301" s="15"/>
      <x:c r="B301" s="19"/>
      <x:c r="D301" s="23"/>
      <x:c r="E301" s="23"/>
      <x:c r="F301" s="23"/>
      <x:c r="G301" s="23"/>
    </x:row>
    <x:row r="302">
      <x:c r="A302" s="15"/>
      <x:c r="B302" s="19"/>
      <x:c r="D302" s="23"/>
      <x:c r="E302" s="23"/>
      <x:c r="F302" s="23"/>
      <x:c r="G302" s="23"/>
    </x:row>
    <x:row r="303">
      <x:c r="A303" s="15"/>
      <x:c r="B303" s="19"/>
      <x:c r="D303" s="23"/>
      <x:c r="E303" s="23"/>
      <x:c r="F303" s="23"/>
      <x:c r="G303" s="23"/>
    </x:row>
    <x:row r="304">
      <x:c r="A304" s="15"/>
      <x:c r="B304" s="19"/>
      <x:c r="D304" s="23"/>
      <x:c r="E304" s="23"/>
      <x:c r="F304" s="23"/>
      <x:c r="G304" s="23"/>
    </x:row>
    <x:row r="305">
      <x:c r="A305" s="15"/>
      <x:c r="B305" s="19"/>
      <x:c r="D305" s="23"/>
      <x:c r="E305" s="23"/>
      <x:c r="F305" s="23"/>
      <x:c r="G305" s="23"/>
    </x:row>
    <x:row r="306">
      <x:c r="A306" s="15"/>
      <x:c r="B306" s="19"/>
      <x:c r="D306" s="23"/>
      <x:c r="E306" s="23"/>
      <x:c r="F306" s="23"/>
      <x:c r="G306" s="23"/>
    </x:row>
    <x:row r="307">
      <x:c r="A307" s="15"/>
      <x:c r="B307" s="19"/>
      <x:c r="D307" s="23"/>
      <x:c r="E307" s="23"/>
      <x:c r="F307" s="23"/>
      <x:c r="G307" s="23"/>
    </x:row>
    <x:row r="308">
      <x:c r="A308" s="15"/>
      <x:c r="B308" s="19"/>
      <x:c r="D308" s="23"/>
      <x:c r="E308" s="23"/>
      <x:c r="F308" s="23"/>
      <x:c r="G308" s="23"/>
    </x:row>
    <x:row r="309">
      <x:c r="A309" s="15"/>
      <x:c r="B309" s="19"/>
      <x:c r="D309" s="23"/>
      <x:c r="E309" s="23"/>
      <x:c r="F309" s="23"/>
      <x:c r="G309" s="23"/>
    </x:row>
    <x:row r="310">
      <x:c r="A310" s="15"/>
      <x:c r="B310" s="19"/>
      <x:c r="D310" s="23"/>
      <x:c r="E310" s="23"/>
      <x:c r="F310" s="23"/>
      <x:c r="G310" s="23"/>
    </x:row>
    <x:row r="311">
      <x:c r="A311" s="15"/>
      <x:c r="B311" s="19"/>
      <x:c r="D311" s="23"/>
      <x:c r="E311" s="23"/>
      <x:c r="F311" s="23"/>
      <x:c r="G311" s="23"/>
    </x:row>
    <x:row r="312">
      <x:c r="A312" s="15"/>
      <x:c r="B312" s="19"/>
      <x:c r="D312" s="23"/>
      <x:c r="E312" s="23"/>
      <x:c r="F312" s="23"/>
      <x:c r="G312" s="23"/>
    </x:row>
    <x:row r="313">
      <x:c r="A313" s="15"/>
      <x:c r="B313" s="19"/>
      <x:c r="D313" s="23"/>
      <x:c r="E313" s="23"/>
      <x:c r="F313" s="23"/>
      <x:c r="G313" s="23"/>
    </x:row>
    <x:row r="314">
      <x:c r="A314" s="15"/>
      <x:c r="B314" s="19"/>
      <x:c r="D314" s="23"/>
      <x:c r="E314" s="23"/>
      <x:c r="F314" s="23"/>
      <x:c r="G314" s="23"/>
    </x:row>
    <x:row r="315">
      <x:c r="A315" s="15"/>
      <x:c r="B315" s="19"/>
      <x:c r="D315" s="23"/>
      <x:c r="E315" s="23"/>
      <x:c r="F315" s="23"/>
      <x:c r="G315" s="23"/>
    </x:row>
    <x:row r="316">
      <x:c r="A316" s="15"/>
      <x:c r="B316" s="19"/>
      <x:c r="D316" s="23"/>
      <x:c r="E316" s="23"/>
      <x:c r="F316" s="23"/>
      <x:c r="G316" s="23"/>
    </x:row>
    <x:row r="317">
      <x:c r="A317" s="15"/>
      <x:c r="B317" s="19"/>
      <x:c r="D317" s="23"/>
      <x:c r="E317" s="23"/>
      <x:c r="F317" s="23"/>
      <x:c r="G317" s="23"/>
    </x:row>
    <x:row r="318">
      <x:c r="A318" s="15"/>
      <x:c r="B318" s="19"/>
      <x:c r="D318" s="23"/>
      <x:c r="E318" s="23"/>
      <x:c r="F318" s="23"/>
      <x:c r="G318" s="23"/>
    </x:row>
    <x:row r="319">
      <x:c r="A319" s="15"/>
      <x:c r="B319" s="19"/>
      <x:c r="D319" s="23"/>
      <x:c r="E319" s="23"/>
      <x:c r="F319" s="23"/>
      <x:c r="G319" s="23"/>
    </x:row>
    <x:row r="320">
      <x:c r="A320" s="15"/>
      <x:c r="B320" s="19"/>
      <x:c r="D320" s="23"/>
      <x:c r="E320" s="23"/>
      <x:c r="F320" s="23"/>
      <x:c r="G320" s="23"/>
    </x:row>
    <x:row r="321">
      <x:c r="A321" s="15"/>
      <x:c r="B321" s="19"/>
      <x:c r="D321" s="23"/>
      <x:c r="E321" s="23"/>
      <x:c r="F321" s="23"/>
      <x:c r="G321" s="23"/>
    </x:row>
    <x:row r="322">
      <x:c r="A322" s="15"/>
      <x:c r="B322" s="19"/>
      <x:c r="D322" s="23"/>
      <x:c r="E322" s="23"/>
      <x:c r="F322" s="23"/>
      <x:c r="G322" s="23"/>
    </x:row>
    <x:row r="323">
      <x:c r="A323" s="15"/>
      <x:c r="B323" s="19"/>
      <x:c r="D323" s="23"/>
      <x:c r="E323" s="23"/>
      <x:c r="F323" s="23"/>
      <x:c r="G323" s="23"/>
    </x:row>
    <x:row r="324">
      <x:c r="A324" s="15"/>
      <x:c r="B324" s="19"/>
      <x:c r="D324" s="23"/>
      <x:c r="E324" s="23"/>
      <x:c r="F324" s="23"/>
      <x:c r="G324" s="23"/>
    </x:row>
    <x:row r="325">
      <x:c r="A325" s="15"/>
      <x:c r="B325" s="19"/>
      <x:c r="D325" s="23"/>
      <x:c r="E325" s="23"/>
      <x:c r="F325" s="23"/>
      <x:c r="G325" s="23"/>
    </x:row>
    <x:row r="326">
      <x:c r="A326" s="15"/>
      <x:c r="B326" s="19"/>
      <x:c r="D326" s="23"/>
      <x:c r="E326" s="23"/>
      <x:c r="F326" s="23"/>
      <x:c r="G326" s="23"/>
    </x:row>
    <x:row r="327">
      <x:c r="A327" s="15"/>
      <x:c r="B327" s="19"/>
      <x:c r="D327" s="23"/>
      <x:c r="E327" s="23"/>
      <x:c r="F327" s="23"/>
      <x:c r="G327" s="23"/>
    </x:row>
    <x:row r="328">
      <x:c r="A328" s="15"/>
      <x:c r="B328" s="19"/>
      <x:c r="D328" s="23"/>
      <x:c r="E328" s="23"/>
      <x:c r="F328" s="23"/>
      <x:c r="G328" s="23"/>
    </x:row>
    <x:row r="329">
      <x:c r="A329" s="15"/>
      <x:c r="B329" s="19"/>
      <x:c r="D329" s="23"/>
      <x:c r="E329" s="23"/>
      <x:c r="F329" s="23"/>
      <x:c r="G329" s="23"/>
    </x:row>
    <x:row r="330">
      <x:c r="A330" s="15"/>
      <x:c r="B330" s="19"/>
      <x:c r="D330" s="23"/>
      <x:c r="E330" s="23"/>
      <x:c r="F330" s="23"/>
      <x:c r="G330" s="23"/>
    </x:row>
    <x:row r="331">
      <x:c r="A331" s="15"/>
      <x:c r="B331" s="19"/>
      <x:c r="D331" s="23"/>
      <x:c r="E331" s="23"/>
      <x:c r="F331" s="23"/>
      <x:c r="G331" s="23"/>
    </x:row>
    <x:row r="332">
      <x:c r="A332" s="15"/>
      <x:c r="B332" s="19"/>
      <x:c r="D332" s="23"/>
      <x:c r="E332" s="23"/>
      <x:c r="F332" s="23"/>
      <x:c r="G332" s="23"/>
    </x:row>
    <x:row r="333">
      <x:c r="A333" s="15"/>
      <x:c r="B333" s="19"/>
      <x:c r="D333" s="23"/>
      <x:c r="E333" s="23"/>
      <x:c r="F333" s="23"/>
      <x:c r="G333" s="23"/>
    </x:row>
    <x:row r="334">
      <x:c r="A334" s="15"/>
      <x:c r="B334" s="19"/>
      <x:c r="D334" s="23"/>
      <x:c r="E334" s="23"/>
      <x:c r="F334" s="23"/>
      <x:c r="G334" s="23"/>
    </x:row>
    <x:row r="335">
      <x:c r="A335" s="15"/>
      <x:c r="B335" s="19"/>
      <x:c r="D335" s="23"/>
      <x:c r="E335" s="23"/>
      <x:c r="F335" s="23"/>
      <x:c r="G335" s="23"/>
    </x:row>
    <x:row r="336">
      <x:c r="A336" s="15"/>
      <x:c r="B336" s="19"/>
      <x:c r="D336" s="23"/>
      <x:c r="E336" s="23"/>
      <x:c r="F336" s="23"/>
      <x:c r="G336" s="23"/>
    </x:row>
    <x:row r="337">
      <x:c r="A337" s="15"/>
      <x:c r="B337" s="19"/>
      <x:c r="D337" s="23"/>
      <x:c r="E337" s="23"/>
      <x:c r="F337" s="23"/>
      <x:c r="G337" s="23"/>
    </x:row>
    <x:row r="338">
      <x:c r="A338" s="15"/>
      <x:c r="B338" s="19"/>
      <x:c r="D338" s="23"/>
      <x:c r="E338" s="23"/>
      <x:c r="F338" s="23"/>
      <x:c r="G338" s="23"/>
    </x:row>
    <x:row r="339">
      <x:c r="A339" s="15"/>
      <x:c r="B339" s="19"/>
      <x:c r="D339" s="23"/>
      <x:c r="E339" s="23"/>
      <x:c r="F339" s="23"/>
      <x:c r="G339" s="23"/>
    </x:row>
    <x:row r="340">
      <x:c r="A340" s="15"/>
      <x:c r="B340" s="19"/>
      <x:c r="D340" s="23"/>
      <x:c r="E340" s="23"/>
      <x:c r="F340" s="23"/>
      <x:c r="G340" s="23"/>
    </x:row>
    <x:row r="341">
      <x:c r="A341" s="15"/>
      <x:c r="B341" s="19"/>
      <x:c r="D341" s="23"/>
      <x:c r="E341" s="23"/>
      <x:c r="F341" s="23"/>
      <x:c r="G341" s="23"/>
    </x:row>
    <x:row r="342">
      <x:c r="A342" s="15"/>
      <x:c r="B342" s="19"/>
      <x:c r="D342" s="23"/>
      <x:c r="E342" s="23"/>
      <x:c r="F342" s="23"/>
      <x:c r="G342" s="23"/>
    </x:row>
    <x:row r="343">
      <x:c r="A343" s="15"/>
      <x:c r="B343" s="19"/>
      <x:c r="D343" s="23"/>
      <x:c r="E343" s="23"/>
      <x:c r="F343" s="23"/>
      <x:c r="G343" s="23"/>
    </x:row>
    <x:row r="344">
      <x:c r="A344" s="15"/>
      <x:c r="B344" s="19"/>
      <x:c r="D344" s="23"/>
      <x:c r="E344" s="23"/>
      <x:c r="F344" s="23"/>
      <x:c r="G344" s="23"/>
    </x:row>
    <x:row r="345">
      <x:c r="A345" s="15"/>
      <x:c r="B345" s="19"/>
      <x:c r="D345" s="23"/>
      <x:c r="E345" s="23"/>
      <x:c r="F345" s="23"/>
      <x:c r="G345" s="23"/>
    </x:row>
    <x:row r="346">
      <x:c r="A346" s="15"/>
      <x:c r="B346" s="19"/>
      <x:c r="D346" s="23"/>
      <x:c r="E346" s="23"/>
      <x:c r="F346" s="23"/>
      <x:c r="G346" s="23"/>
    </x:row>
    <x:row r="347">
      <x:c r="A347" s="15"/>
      <x:c r="B347" s="19"/>
      <x:c r="D347" s="23"/>
      <x:c r="E347" s="23"/>
      <x:c r="F347" s="23"/>
      <x:c r="G347" s="23"/>
    </x:row>
    <x:row r="348">
      <x:c r="A348" s="15"/>
      <x:c r="B348" s="19"/>
      <x:c r="D348" s="23"/>
      <x:c r="E348" s="23"/>
      <x:c r="F348" s="23"/>
      <x:c r="G348" s="23"/>
    </x:row>
    <x:row r="349">
      <x:c r="A349" s="15"/>
      <x:c r="B349" s="19"/>
      <x:c r="D349" s="23"/>
      <x:c r="E349" s="23"/>
      <x:c r="F349" s="23"/>
      <x:c r="G349" s="23"/>
    </x:row>
    <x:row r="350">
      <x:c r="A350" s="15"/>
      <x:c r="B350" s="19"/>
      <x:c r="D350" s="23"/>
      <x:c r="E350" s="23"/>
      <x:c r="F350" s="23"/>
      <x:c r="G350" s="23"/>
    </x:row>
    <x:row r="351">
      <x:c r="A351" s="15"/>
      <x:c r="B351" s="19"/>
      <x:c r="D351" s="23"/>
      <x:c r="E351" s="23"/>
      <x:c r="F351" s="23"/>
      <x:c r="G351" s="23"/>
    </x:row>
    <x:row r="352">
      <x:c r="A352" s="15"/>
      <x:c r="B352" s="19"/>
      <x:c r="D352" s="23"/>
      <x:c r="E352" s="23"/>
      <x:c r="F352" s="23"/>
      <x:c r="G352" s="23"/>
    </x:row>
    <x:row r="353">
      <x:c r="A353" s="15"/>
      <x:c r="B353" s="19"/>
      <x:c r="D353" s="23"/>
      <x:c r="E353" s="23"/>
      <x:c r="F353" s="23"/>
      <x:c r="G353" s="23"/>
    </x:row>
    <x:row r="354">
      <x:c r="A354" s="15"/>
      <x:c r="B354" s="19"/>
      <x:c r="D354" s="23"/>
      <x:c r="E354" s="23"/>
      <x:c r="F354" s="23"/>
      <x:c r="G354" s="23"/>
    </x:row>
    <x:row r="355">
      <x:c r="A355" s="15"/>
      <x:c r="B355" s="19"/>
      <x:c r="D355" s="23"/>
      <x:c r="E355" s="23"/>
      <x:c r="F355" s="23"/>
      <x:c r="G355" s="23"/>
    </x:row>
    <x:row r="356">
      <x:c r="A356" s="15"/>
      <x:c r="B356" s="19"/>
      <x:c r="D356" s="23"/>
      <x:c r="E356" s="23"/>
      <x:c r="F356" s="23"/>
      <x:c r="G356" s="23"/>
    </x:row>
    <x:row r="357">
      <x:c r="A357" s="15"/>
      <x:c r="B357" s="19"/>
      <x:c r="D357" s="23"/>
      <x:c r="E357" s="23"/>
      <x:c r="F357" s="23"/>
      <x:c r="G357" s="23"/>
    </x:row>
    <x:row r="358">
      <x:c r="A358" s="15"/>
      <x:c r="B358" s="19"/>
      <x:c r="D358" s="23"/>
      <x:c r="E358" s="23"/>
      <x:c r="F358" s="23"/>
      <x:c r="G358" s="23"/>
    </x:row>
    <x:row r="359">
      <x:c r="A359" s="15"/>
      <x:c r="B359" s="19"/>
      <x:c r="D359" s="23"/>
      <x:c r="E359" s="23"/>
      <x:c r="F359" s="23"/>
      <x:c r="G359" s="23"/>
    </x:row>
    <x:row r="360">
      <x:c r="A360" s="15"/>
      <x:c r="B360" s="19"/>
      <x:c r="D360" s="23"/>
      <x:c r="E360" s="23"/>
      <x:c r="F360" s="23"/>
      <x:c r="G360" s="23"/>
    </x:row>
    <x:row r="361">
      <x:c r="A361" s="15"/>
      <x:c r="B361" s="19"/>
      <x:c r="D361" s="23"/>
      <x:c r="E361" s="23"/>
      <x:c r="F361" s="23"/>
      <x:c r="G361" s="23"/>
    </x:row>
    <x:row r="362">
      <x:c r="A362" s="15"/>
      <x:c r="B362" s="19"/>
      <x:c r="D362" s="23"/>
      <x:c r="E362" s="23"/>
      <x:c r="F362" s="23"/>
      <x:c r="G362" s="23"/>
    </x:row>
    <x:row r="363">
      <x:c r="A363" s="15"/>
      <x:c r="B363" s="19"/>
      <x:c r="D363" s="23"/>
      <x:c r="E363" s="23"/>
      <x:c r="F363" s="23"/>
      <x:c r="G363" s="23"/>
    </x:row>
    <x:row r="364">
      <x:c r="A364" s="15"/>
      <x:c r="B364" s="19"/>
      <x:c r="D364" s="23"/>
      <x:c r="E364" s="23"/>
      <x:c r="F364" s="23"/>
      <x:c r="G364" s="23"/>
    </x:row>
    <x:row r="365">
      <x:c r="A365" s="15"/>
      <x:c r="B365" s="19"/>
      <x:c r="D365" s="23"/>
      <x:c r="E365" s="23"/>
      <x:c r="F365" s="23"/>
      <x:c r="G365" s="23"/>
    </x:row>
    <x:row r="366">
      <x:c r="A366" s="15"/>
      <x:c r="B366" s="19"/>
      <x:c r="D366" s="23"/>
      <x:c r="E366" s="23"/>
      <x:c r="F366" s="23"/>
      <x:c r="G366" s="23"/>
    </x:row>
    <x:row r="367">
      <x:c r="A367" s="15"/>
      <x:c r="B367" s="19"/>
      <x:c r="D367" s="23"/>
      <x:c r="E367" s="23"/>
      <x:c r="F367" s="23"/>
      <x:c r="G367" s="23"/>
    </x:row>
    <x:row r="368">
      <x:c r="A368" s="15"/>
      <x:c r="B368" s="19"/>
      <x:c r="D368" s="23"/>
      <x:c r="E368" s="23"/>
      <x:c r="F368" s="23"/>
      <x:c r="G368" s="23"/>
    </x:row>
    <x:row r="369">
      <x:c r="A369" s="15"/>
      <x:c r="B369" s="19"/>
      <x:c r="D369" s="23"/>
      <x:c r="E369" s="23"/>
      <x:c r="F369" s="23"/>
      <x:c r="G369" s="23"/>
    </x:row>
    <x:row r="370">
      <x:c r="A370" s="15"/>
      <x:c r="B370" s="19"/>
      <x:c r="D370" s="23"/>
      <x:c r="E370" s="23"/>
      <x:c r="F370" s="23"/>
      <x:c r="G370" s="23"/>
    </x:row>
    <x:row r="371">
      <x:c r="A371" s="15"/>
      <x:c r="B371" s="19"/>
      <x:c r="D371" s="23"/>
      <x:c r="E371" s="23"/>
      <x:c r="F371" s="23"/>
      <x:c r="G371" s="23"/>
    </x:row>
    <x:row r="372">
      <x:c r="A372" s="15"/>
      <x:c r="B372" s="19"/>
      <x:c r="D372" s="23"/>
      <x:c r="E372" s="23"/>
      <x:c r="F372" s="23"/>
      <x:c r="G372" s="23"/>
    </x:row>
    <x:row r="373">
      <x:c r="A373" s="15"/>
      <x:c r="B373" s="19"/>
      <x:c r="D373" s="23"/>
      <x:c r="E373" s="23"/>
      <x:c r="F373" s="23"/>
      <x:c r="G373" s="23"/>
    </x:row>
    <x:row r="374">
      <x:c r="A374" s="15"/>
      <x:c r="B374" s="19"/>
      <x:c r="D374" s="23"/>
      <x:c r="E374" s="23"/>
      <x:c r="F374" s="23"/>
      <x:c r="G374" s="23"/>
    </x:row>
    <x:row r="375">
      <x:c r="A375" s="15"/>
      <x:c r="B375" s="19"/>
      <x:c r="D375" s="23"/>
      <x:c r="E375" s="23"/>
      <x:c r="F375" s="23"/>
      <x:c r="G375" s="23"/>
    </x:row>
    <x:row r="376">
      <x:c r="A376" s="15"/>
      <x:c r="B376" s="19"/>
      <x:c r="D376" s="23"/>
      <x:c r="E376" s="23"/>
      <x:c r="F376" s="23"/>
      <x:c r="G376" s="23"/>
    </x:row>
    <x:row r="377">
      <x:c r="A377" s="15"/>
      <x:c r="B377" s="19"/>
      <x:c r="D377" s="23"/>
      <x:c r="E377" s="23"/>
      <x:c r="F377" s="23"/>
      <x:c r="G377" s="23"/>
    </x:row>
    <x:row r="378">
      <x:c r="A378" s="15"/>
      <x:c r="B378" s="19"/>
      <x:c r="D378" s="23"/>
      <x:c r="E378" s="23"/>
      <x:c r="F378" s="23"/>
      <x:c r="G378" s="23"/>
    </x:row>
    <x:row r="379">
      <x:c r="A379" s="15"/>
      <x:c r="B379" s="19"/>
      <x:c r="D379" s="23"/>
      <x:c r="E379" s="23"/>
      <x:c r="F379" s="23"/>
      <x:c r="G379" s="23"/>
    </x:row>
    <x:row r="380">
      <x:c r="A380" s="15"/>
      <x:c r="B380" s="19"/>
      <x:c r="D380" s="23"/>
      <x:c r="E380" s="23"/>
      <x:c r="F380" s="23"/>
      <x:c r="G380" s="23"/>
    </x:row>
    <x:row r="381">
      <x:c r="A381" s="15"/>
      <x:c r="B381" s="19"/>
      <x:c r="D381" s="23"/>
      <x:c r="E381" s="23"/>
      <x:c r="F381" s="23"/>
      <x:c r="G381" s="23"/>
    </x:row>
    <x:row r="382">
      <x:c r="A382" s="15"/>
      <x:c r="B382" s="19"/>
      <x:c r="D382" s="23"/>
      <x:c r="E382" s="23"/>
      <x:c r="F382" s="23"/>
      <x:c r="G382" s="23"/>
    </x:row>
    <x:row r="383">
      <x:c r="A383" s="15"/>
      <x:c r="B383" s="19"/>
      <x:c r="D383" s="23"/>
      <x:c r="E383" s="23"/>
      <x:c r="F383" s="23"/>
      <x:c r="G383" s="23"/>
    </x:row>
    <x:row r="384">
      <x:c r="A384" s="15"/>
      <x:c r="B384" s="19"/>
      <x:c r="D384" s="23"/>
      <x:c r="E384" s="23"/>
      <x:c r="F384" s="23"/>
      <x:c r="G384" s="23"/>
    </x:row>
    <x:row r="385">
      <x:c r="A385" s="15"/>
      <x:c r="B385" s="19"/>
      <x:c r="D385" s="23"/>
      <x:c r="E385" s="23"/>
      <x:c r="F385" s="23"/>
      <x:c r="G385" s="23"/>
    </x:row>
    <x:row r="386">
      <x:c r="A386" s="15"/>
      <x:c r="B386" s="19"/>
      <x:c r="D386" s="23"/>
      <x:c r="E386" s="23"/>
      <x:c r="F386" s="23"/>
      <x:c r="G386" s="23"/>
    </x:row>
    <x:row r="387">
      <x:c r="A387" s="15"/>
      <x:c r="B387" s="19"/>
      <x:c r="D387" s="23"/>
      <x:c r="E387" s="23"/>
      <x:c r="F387" s="23"/>
      <x:c r="G387" s="23"/>
    </x:row>
    <x:row r="388">
      <x:c r="A388" s="15"/>
      <x:c r="B388" s="19"/>
      <x:c r="D388" s="23"/>
      <x:c r="E388" s="23"/>
      <x:c r="F388" s="23"/>
      <x:c r="G388" s="23"/>
    </x:row>
    <x:row r="389">
      <x:c r="A389" s="15"/>
      <x:c r="B389" s="19"/>
      <x:c r="D389" s="23"/>
      <x:c r="E389" s="23"/>
      <x:c r="F389" s="23"/>
      <x:c r="G389" s="23"/>
    </x:row>
    <x:row r="390">
      <x:c r="A390" s="15"/>
      <x:c r="B390" s="19"/>
      <x:c r="D390" s="23"/>
      <x:c r="E390" s="23"/>
      <x:c r="F390" s="23"/>
      <x:c r="G390" s="23"/>
    </x:row>
    <x:row r="391">
      <x:c r="A391" s="15"/>
      <x:c r="B391" s="19"/>
      <x:c r="D391" s="23"/>
      <x:c r="E391" s="23"/>
      <x:c r="F391" s="23"/>
      <x:c r="G391" s="23"/>
    </x:row>
    <x:row r="392">
      <x:c r="A392" s="15"/>
      <x:c r="B392" s="19"/>
      <x:c r="D392" s="23"/>
      <x:c r="E392" s="23"/>
      <x:c r="F392" s="23"/>
      <x:c r="G392" s="23"/>
    </x:row>
    <x:row r="393">
      <x:c r="A393" s="15"/>
      <x:c r="B393" s="19"/>
      <x:c r="D393" s="23"/>
      <x:c r="E393" s="23"/>
      <x:c r="F393" s="23"/>
      <x:c r="G393" s="23"/>
    </x:row>
    <x:row r="394">
      <x:c r="A394" s="15"/>
      <x:c r="B394" s="19"/>
      <x:c r="D394" s="23"/>
      <x:c r="E394" s="23"/>
      <x:c r="F394" s="23"/>
      <x:c r="G394" s="23"/>
    </x:row>
    <x:row r="395">
      <x:c r="A395" s="15"/>
      <x:c r="B395" s="19"/>
      <x:c r="D395" s="23"/>
      <x:c r="E395" s="23"/>
      <x:c r="F395" s="23"/>
      <x:c r="G395" s="23"/>
    </x:row>
    <x:row r="396">
      <x:c r="A396" s="15"/>
      <x:c r="B396" s="19"/>
      <x:c r="D396" s="23"/>
      <x:c r="E396" s="23"/>
      <x:c r="F396" s="23"/>
      <x:c r="G396" s="23"/>
    </x:row>
    <x:row r="397">
      <x:c r="A397" s="15"/>
      <x:c r="B397" s="19"/>
      <x:c r="D397" s="23"/>
      <x:c r="E397" s="23"/>
      <x:c r="F397" s="23"/>
      <x:c r="G397" s="23"/>
    </x:row>
    <x:row r="398">
      <x:c r="A398" s="15"/>
      <x:c r="B398" s="19"/>
      <x:c r="D398" s="23"/>
      <x:c r="E398" s="23"/>
      <x:c r="F398" s="23"/>
      <x:c r="G398" s="23"/>
    </x:row>
    <x:row r="399">
      <x:c r="A399" s="15"/>
      <x:c r="B399" s="19"/>
      <x:c r="D399" s="23"/>
      <x:c r="E399" s="23"/>
      <x:c r="F399" s="23"/>
      <x:c r="G399" s="23"/>
    </x:row>
    <x:row r="400">
      <x:c r="A400" s="15"/>
      <x:c r="B400" s="19"/>
      <x:c r="D400" s="23"/>
      <x:c r="E400" s="23"/>
      <x:c r="F400" s="23"/>
      <x:c r="G400" s="23"/>
    </x:row>
    <x:row r="401">
      <x:c r="A401" s="15"/>
      <x:c r="B401" s="19"/>
      <x:c r="D401" s="23"/>
      <x:c r="E401" s="23"/>
      <x:c r="F401" s="23"/>
      <x:c r="G401" s="23"/>
    </x:row>
    <x:row r="402">
      <x:c r="A402" s="15"/>
      <x:c r="B402" s="19"/>
      <x:c r="D402" s="23"/>
      <x:c r="E402" s="23"/>
      <x:c r="F402" s="23"/>
      <x:c r="G402" s="23"/>
    </x:row>
    <x:row r="403">
      <x:c r="A403" s="15"/>
      <x:c r="B403" s="19"/>
      <x:c r="D403" s="23"/>
      <x:c r="E403" s="23"/>
      <x:c r="F403" s="23"/>
      <x:c r="G403" s="23"/>
    </x:row>
    <x:row r="404">
      <x:c r="A404" s="15"/>
      <x:c r="B404" s="19"/>
      <x:c r="D404" s="23"/>
      <x:c r="E404" s="23"/>
      <x:c r="F404" s="23"/>
      <x:c r="G404" s="23"/>
    </x:row>
    <x:row r="405">
      <x:c r="A405" s="15"/>
      <x:c r="B405" s="19"/>
      <x:c r="D405" s="23"/>
      <x:c r="E405" s="23"/>
      <x:c r="F405" s="23"/>
      <x:c r="G405" s="23"/>
    </x:row>
    <x:row r="406">
      <x:c r="A406" s="15"/>
      <x:c r="B406" s="19"/>
      <x:c r="D406" s="23"/>
      <x:c r="E406" s="23"/>
      <x:c r="F406" s="23"/>
      <x:c r="G406" s="23"/>
    </x:row>
    <x:row r="407">
      <x:c r="A407" s="15"/>
      <x:c r="B407" s="19"/>
      <x:c r="D407" s="23"/>
      <x:c r="E407" s="23"/>
      <x:c r="F407" s="23"/>
      <x:c r="G407" s="23"/>
    </x:row>
    <x:row r="408">
      <x:c r="A408" s="15"/>
      <x:c r="B408" s="19"/>
      <x:c r="D408" s="23"/>
      <x:c r="E408" s="23"/>
      <x:c r="F408" s="23"/>
      <x:c r="G408" s="23"/>
    </x:row>
    <x:row r="409">
      <x:c r="A409" s="15"/>
      <x:c r="B409" s="19"/>
      <x:c r="D409" s="23"/>
      <x:c r="E409" s="23"/>
      <x:c r="F409" s="23"/>
      <x:c r="G409" s="23"/>
    </x:row>
    <x:row r="410">
      <x:c r="A410" s="15"/>
      <x:c r="B410" s="19"/>
      <x:c r="D410" s="23"/>
      <x:c r="E410" s="23"/>
      <x:c r="F410" s="23"/>
      <x:c r="G410" s="23"/>
    </x:row>
    <x:row r="411">
      <x:c r="A411" s="15"/>
      <x:c r="B411" s="19"/>
      <x:c r="D411" s="23"/>
      <x:c r="E411" s="23"/>
      <x:c r="F411" s="23"/>
      <x:c r="G411" s="23"/>
    </x:row>
    <x:row r="412">
      <x:c r="A412" s="15"/>
      <x:c r="B412" s="19"/>
      <x:c r="D412" s="23"/>
      <x:c r="E412" s="23"/>
      <x:c r="F412" s="23"/>
      <x:c r="G412" s="23"/>
    </x:row>
    <x:row r="413">
      <x:c r="A413" s="15"/>
      <x:c r="B413" s="19"/>
      <x:c r="D413" s="23"/>
      <x:c r="E413" s="23"/>
      <x:c r="F413" s="23"/>
      <x:c r="G413" s="23"/>
    </x:row>
    <x:row r="414">
      <x:c r="A414" s="15"/>
      <x:c r="B414" s="19"/>
      <x:c r="D414" s="23"/>
      <x:c r="E414" s="23"/>
      <x:c r="F414" s="23"/>
      <x:c r="G414" s="23"/>
    </x:row>
    <x:row r="415">
      <x:c r="A415" s="15"/>
      <x:c r="B415" s="19"/>
      <x:c r="D415" s="23"/>
      <x:c r="E415" s="23"/>
      <x:c r="F415" s="23"/>
      <x:c r="G415" s="23"/>
    </x:row>
    <x:row r="416">
      <x:c r="A416" s="15"/>
      <x:c r="B416" s="19"/>
      <x:c r="D416" s="23"/>
      <x:c r="E416" s="23"/>
      <x:c r="F416" s="23"/>
      <x:c r="G416" s="23"/>
    </x:row>
    <x:row r="417">
      <x:c r="A417" s="15"/>
      <x:c r="B417" s="19"/>
      <x:c r="D417" s="23"/>
      <x:c r="E417" s="23"/>
      <x:c r="F417" s="23"/>
      <x:c r="G417" s="23"/>
    </x:row>
    <x:row r="418">
      <x:c r="A418" s="15"/>
      <x:c r="B418" s="19"/>
      <x:c r="D418" s="23"/>
      <x:c r="E418" s="23"/>
      <x:c r="F418" s="23"/>
      <x:c r="G418" s="23"/>
    </x:row>
    <x:row r="419">
      <x:c r="A419" s="15"/>
      <x:c r="B419" s="19"/>
      <x:c r="D419" s="23"/>
      <x:c r="E419" s="23"/>
      <x:c r="F419" s="23"/>
      <x:c r="G419" s="23"/>
    </x:row>
    <x:row r="420">
      <x:c r="A420" s="15"/>
      <x:c r="B420" s="19"/>
      <x:c r="D420" s="23"/>
      <x:c r="E420" s="23"/>
      <x:c r="F420" s="23"/>
      <x:c r="G420" s="23"/>
    </x:row>
    <x:row r="421">
      <x:c r="A421" s="15"/>
      <x:c r="B421" s="19"/>
      <x:c r="D421" s="23"/>
      <x:c r="E421" s="23"/>
      <x:c r="F421" s="23"/>
      <x:c r="G421" s="23"/>
    </x:row>
    <x:row r="422">
      <x:c r="A422" s="15"/>
      <x:c r="B422" s="19"/>
      <x:c r="D422" s="23"/>
      <x:c r="E422" s="23"/>
      <x:c r="F422" s="23"/>
      <x:c r="G422" s="23"/>
    </x:row>
    <x:row r="423">
      <x:c r="A423" s="15"/>
      <x:c r="B423" s="19"/>
      <x:c r="D423" s="23"/>
      <x:c r="E423" s="23"/>
      <x:c r="F423" s="23"/>
      <x:c r="G423" s="23"/>
    </x:row>
    <x:row r="424">
      <x:c r="A424" s="15"/>
      <x:c r="B424" s="19"/>
      <x:c r="D424" s="23"/>
      <x:c r="E424" s="23"/>
      <x:c r="F424" s="23"/>
      <x:c r="G424" s="23"/>
    </x:row>
    <x:row r="425">
      <x:c r="A425" s="15"/>
      <x:c r="B425" s="19"/>
      <x:c r="D425" s="23"/>
      <x:c r="E425" s="23"/>
      <x:c r="F425" s="23"/>
      <x:c r="G425" s="23"/>
    </x:row>
    <x:row r="426">
      <x:c r="A426" s="15"/>
      <x:c r="B426" s="19"/>
      <x:c r="D426" s="23"/>
      <x:c r="E426" s="23"/>
      <x:c r="F426" s="23"/>
      <x:c r="G426" s="23"/>
    </x:row>
    <x:row r="427">
      <x:c r="A427" s="15"/>
      <x:c r="B427" s="19"/>
      <x:c r="D427" s="23"/>
      <x:c r="E427" s="23"/>
      <x:c r="F427" s="23"/>
      <x:c r="G427" s="23"/>
    </x:row>
    <x:row r="428">
      <x:c r="A428" s="15"/>
      <x:c r="B428" s="19"/>
      <x:c r="D428" s="23"/>
      <x:c r="E428" s="23"/>
      <x:c r="F428" s="23"/>
      <x:c r="G428" s="23"/>
    </x:row>
    <x:row r="429">
      <x:c r="A429" s="15"/>
      <x:c r="B429" s="19"/>
      <x:c r="D429" s="23"/>
      <x:c r="E429" s="23"/>
      <x:c r="F429" s="23"/>
      <x:c r="G429" s="23"/>
    </x:row>
    <x:row r="430">
      <x:c r="A430" s="15"/>
      <x:c r="B430" s="19"/>
      <x:c r="D430" s="23"/>
      <x:c r="E430" s="23"/>
      <x:c r="F430" s="23"/>
      <x:c r="G430" s="23"/>
    </x:row>
    <x:row r="431">
      <x:c r="A431" s="15"/>
      <x:c r="B431" s="19"/>
      <x:c r="D431" s="23"/>
      <x:c r="E431" s="23"/>
      <x:c r="F431" s="23"/>
      <x:c r="G431" s="23"/>
    </x:row>
    <x:row r="432">
      <x:c r="A432" s="15"/>
      <x:c r="B432" s="19"/>
      <x:c r="D432" s="23"/>
      <x:c r="E432" s="23"/>
      <x:c r="F432" s="23"/>
      <x:c r="G432" s="23"/>
    </x:row>
    <x:row r="433">
      <x:c r="A433" s="15"/>
      <x:c r="B433" s="19"/>
      <x:c r="D433" s="23"/>
      <x:c r="E433" s="23"/>
      <x:c r="F433" s="23"/>
      <x:c r="G433" s="23"/>
    </x:row>
    <x:row r="434">
      <x:c r="A434" s="15"/>
      <x:c r="B434" s="19"/>
      <x:c r="D434" s="23"/>
      <x:c r="E434" s="23"/>
      <x:c r="F434" s="23"/>
      <x:c r="G434" s="23"/>
    </x:row>
    <x:row r="435">
      <x:c r="A435" s="15"/>
      <x:c r="B435" s="19"/>
      <x:c r="D435" s="23"/>
      <x:c r="E435" s="23"/>
      <x:c r="F435" s="23"/>
      <x:c r="G435" s="23"/>
    </x:row>
    <x:row r="436">
      <x:c r="A436" s="15"/>
      <x:c r="B436" s="19"/>
      <x:c r="D436" s="23"/>
      <x:c r="E436" s="23"/>
      <x:c r="F436" s="23"/>
      <x:c r="G436" s="23"/>
    </x:row>
    <x:row r="437">
      <x:c r="A437" s="15"/>
      <x:c r="B437" s="19"/>
      <x:c r="D437" s="23"/>
      <x:c r="E437" s="23"/>
      <x:c r="F437" s="23"/>
      <x:c r="G437" s="23"/>
    </x:row>
    <x:row r="438">
      <x:c r="A438" s="15"/>
      <x:c r="B438" s="19"/>
      <x:c r="D438" s="23"/>
      <x:c r="E438" s="23"/>
      <x:c r="F438" s="23"/>
      <x:c r="G438" s="23"/>
    </x:row>
    <x:row r="439">
      <x:c r="A439" s="15"/>
      <x:c r="B439" s="19"/>
      <x:c r="D439" s="23"/>
      <x:c r="E439" s="23"/>
      <x:c r="F439" s="23"/>
      <x:c r="G439" s="23"/>
    </x:row>
    <x:row r="440">
      <x:c r="A440" s="15"/>
      <x:c r="B440" s="19"/>
      <x:c r="D440" s="23"/>
      <x:c r="E440" s="23"/>
      <x:c r="F440" s="23"/>
      <x:c r="G440" s="23"/>
    </x:row>
    <x:row r="441">
      <x:c r="A441" s="15"/>
      <x:c r="B441" s="19"/>
      <x:c r="D441" s="23"/>
      <x:c r="E441" s="23"/>
      <x:c r="F441" s="23"/>
      <x:c r="G441" s="23"/>
    </x:row>
    <x:row r="442">
      <x:c r="A442" s="15"/>
      <x:c r="B442" s="19"/>
      <x:c r="D442" s="23"/>
      <x:c r="E442" s="23"/>
      <x:c r="F442" s="23"/>
      <x:c r="G442" s="23"/>
    </x:row>
    <x:row r="443">
      <x:c r="A443" s="15"/>
      <x:c r="B443" s="19"/>
      <x:c r="D443" s="23"/>
      <x:c r="E443" s="23"/>
      <x:c r="F443" s="23"/>
      <x:c r="G443" s="23"/>
    </x:row>
    <x:row r="444">
      <x:c r="A444" s="15"/>
      <x:c r="B444" s="19"/>
      <x:c r="D444" s="23"/>
      <x:c r="E444" s="23"/>
      <x:c r="F444" s="23"/>
      <x:c r="G444" s="23"/>
    </x:row>
    <x:row r="445">
      <x:c r="A445" s="15"/>
      <x:c r="B445" s="19"/>
      <x:c r="D445" s="23"/>
      <x:c r="E445" s="23"/>
      <x:c r="F445" s="23"/>
      <x:c r="G445" s="23"/>
    </x:row>
    <x:row r="446">
      <x:c r="A446" s="15"/>
      <x:c r="B446" s="19"/>
      <x:c r="D446" s="23"/>
      <x:c r="E446" s="23"/>
      <x:c r="F446" s="23"/>
      <x:c r="G446" s="23"/>
    </x:row>
    <x:row r="447">
      <x:c r="A447" s="15"/>
      <x:c r="B447" s="19"/>
      <x:c r="D447" s="23"/>
      <x:c r="E447" s="23"/>
      <x:c r="F447" s="23"/>
      <x:c r="G447" s="23"/>
    </x:row>
    <x:row r="448">
      <x:c r="A448" s="15"/>
      <x:c r="B448" s="19"/>
      <x:c r="D448" s="23"/>
      <x:c r="E448" s="23"/>
      <x:c r="F448" s="23"/>
      <x:c r="G448" s="23"/>
    </x:row>
    <x:row r="449">
      <x:c r="A449" s="15"/>
      <x:c r="B449" s="19"/>
      <x:c r="D449" s="23"/>
      <x:c r="E449" s="23"/>
      <x:c r="F449" s="23"/>
      <x:c r="G449" s="23"/>
    </x:row>
    <x:row r="450">
      <x:c r="A450" s="15"/>
      <x:c r="B450" s="19"/>
      <x:c r="D450" s="23"/>
      <x:c r="E450" s="23"/>
      <x:c r="F450" s="23"/>
      <x:c r="G450" s="23"/>
    </x:row>
    <x:row r="451">
      <x:c r="A451" s="15"/>
      <x:c r="B451" s="19"/>
      <x:c r="D451" s="23"/>
      <x:c r="E451" s="23"/>
      <x:c r="F451" s="23"/>
      <x:c r="G451" s="23"/>
    </x:row>
    <x:row r="452">
      <x:c r="A452" s="15"/>
      <x:c r="B452" s="19"/>
      <x:c r="D452" s="23"/>
      <x:c r="E452" s="23"/>
      <x:c r="F452" s="23"/>
      <x:c r="G452" s="23"/>
    </x:row>
    <x:row r="453">
      <x:c r="A453" s="15"/>
      <x:c r="B453" s="19"/>
      <x:c r="D453" s="23"/>
      <x:c r="E453" s="23"/>
      <x:c r="F453" s="23"/>
      <x:c r="G453" s="23"/>
    </x:row>
    <x:row r="454">
      <x:c r="A454" s="15"/>
      <x:c r="B454" s="19"/>
      <x:c r="D454" s="23"/>
      <x:c r="E454" s="23"/>
      <x:c r="F454" s="23"/>
      <x:c r="G454" s="23"/>
    </x:row>
    <x:row r="455">
      <x:c r="A455" s="15"/>
      <x:c r="B455" s="19"/>
      <x:c r="D455" s="23"/>
      <x:c r="E455" s="23"/>
      <x:c r="F455" s="23"/>
      <x:c r="G455" s="23"/>
    </x:row>
    <x:row r="456">
      <x:c r="A456" s="15"/>
      <x:c r="B456" s="19"/>
      <x:c r="D456" s="23"/>
      <x:c r="E456" s="23"/>
      <x:c r="F456" s="23"/>
      <x:c r="G456" s="23"/>
    </x:row>
    <x:row r="457">
      <x:c r="A457" s="15"/>
      <x:c r="B457" s="19"/>
      <x:c r="D457" s="23"/>
      <x:c r="E457" s="23"/>
      <x:c r="F457" s="23"/>
      <x:c r="G457" s="23"/>
    </x:row>
    <x:row r="458">
      <x:c r="A458" s="15"/>
      <x:c r="B458" s="19"/>
      <x:c r="D458" s="23"/>
      <x:c r="E458" s="23"/>
      <x:c r="F458" s="23"/>
      <x:c r="G458" s="23"/>
    </x:row>
    <x:row r="459">
      <x:c r="A459" s="15"/>
      <x:c r="B459" s="19"/>
      <x:c r="D459" s="23"/>
      <x:c r="E459" s="23"/>
      <x:c r="F459" s="23"/>
      <x:c r="G459" s="23"/>
    </x:row>
    <x:row r="460">
      <x:c r="A460" s="15"/>
      <x:c r="B460" s="19"/>
      <x:c r="D460" s="23"/>
      <x:c r="E460" s="23"/>
      <x:c r="F460" s="23"/>
      <x:c r="G460" s="23"/>
    </x:row>
    <x:row r="461">
      <x:c r="A461" s="15"/>
      <x:c r="B461" s="19"/>
      <x:c r="D461" s="23"/>
      <x:c r="E461" s="23"/>
      <x:c r="F461" s="23"/>
      <x:c r="G461" s="23"/>
    </x:row>
    <x:row r="462">
      <x:c r="A462" s="15"/>
      <x:c r="B462" s="19"/>
      <x:c r="D462" s="23"/>
      <x:c r="E462" s="23"/>
      <x:c r="F462" s="23"/>
      <x:c r="G462" s="23"/>
    </x:row>
    <x:row r="463">
      <x:c r="A463" s="15"/>
      <x:c r="B463" s="19"/>
      <x:c r="D463" s="23"/>
      <x:c r="E463" s="23"/>
      <x:c r="F463" s="23"/>
      <x:c r="G463" s="23"/>
    </x:row>
    <x:row r="464">
      <x:c r="A464" s="15"/>
      <x:c r="B464" s="19"/>
      <x:c r="D464" s="23"/>
      <x:c r="E464" s="23"/>
      <x:c r="F464" s="23"/>
      <x:c r="G464" s="23"/>
    </x:row>
    <x:row r="465">
      <x:c r="A465" s="15"/>
      <x:c r="B465" s="19"/>
      <x:c r="D465" s="23"/>
      <x:c r="E465" s="23"/>
      <x:c r="F465" s="23"/>
      <x:c r="G465" s="23"/>
    </x:row>
    <x:row r="466">
      <x:c r="A466" s="15"/>
      <x:c r="B466" s="19"/>
      <x:c r="D466" s="23"/>
      <x:c r="E466" s="23"/>
      <x:c r="F466" s="23"/>
      <x:c r="G466" s="23"/>
    </x:row>
    <x:row r="467">
      <x:c r="A467" s="15"/>
      <x:c r="B467" s="19"/>
      <x:c r="D467" s="23"/>
      <x:c r="E467" s="23"/>
      <x:c r="F467" s="23"/>
      <x:c r="G467" s="23"/>
    </x:row>
    <x:row r="468">
      <x:c r="A468" s="15"/>
      <x:c r="B468" s="19"/>
      <x:c r="D468" s="23"/>
      <x:c r="E468" s="23"/>
      <x:c r="F468" s="23"/>
      <x:c r="G468" s="23"/>
    </x:row>
    <x:row r="469">
      <x:c r="A469" s="15"/>
      <x:c r="B469" s="19"/>
      <x:c r="D469" s="23"/>
      <x:c r="E469" s="23"/>
      <x:c r="F469" s="23"/>
      <x:c r="G469" s="23"/>
    </x:row>
    <x:row r="470">
      <x:c r="A470" s="15"/>
      <x:c r="B470" s="19"/>
      <x:c r="D470" s="23"/>
      <x:c r="E470" s="23"/>
      <x:c r="F470" s="23"/>
      <x:c r="G470" s="23"/>
    </x:row>
    <x:row r="471">
      <x:c r="A471" s="15"/>
      <x:c r="B471" s="19"/>
      <x:c r="D471" s="23"/>
      <x:c r="E471" s="23"/>
      <x:c r="F471" s="23"/>
      <x:c r="G471" s="23"/>
    </x:row>
    <x:row r="472">
      <x:c r="A472" s="15"/>
      <x:c r="B472" s="19"/>
      <x:c r="D472" s="23"/>
      <x:c r="E472" s="23"/>
      <x:c r="F472" s="23"/>
      <x:c r="G472" s="23"/>
    </x:row>
    <x:row r="473">
      <x:c r="A473" s="15"/>
      <x:c r="B473" s="19"/>
      <x:c r="D473" s="23"/>
      <x:c r="E473" s="23"/>
      <x:c r="F473" s="23"/>
      <x:c r="G473" s="23"/>
    </x:row>
    <x:row r="474">
      <x:c r="A474" s="15"/>
      <x:c r="B474" s="19"/>
      <x:c r="D474" s="23"/>
      <x:c r="E474" s="23"/>
      <x:c r="F474" s="23"/>
      <x:c r="G474" s="23"/>
    </x:row>
    <x:row r="475">
      <x:c r="A475" s="15"/>
      <x:c r="B475" s="19"/>
      <x:c r="D475" s="23"/>
      <x:c r="E475" s="23"/>
      <x:c r="F475" s="23"/>
      <x:c r="G475" s="23"/>
    </x:row>
    <x:row r="476">
      <x:c r="A476" s="15"/>
      <x:c r="B476" s="19"/>
      <x:c r="D476" s="23"/>
      <x:c r="E476" s="23"/>
      <x:c r="F476" s="23"/>
      <x:c r="G476" s="23"/>
    </x:row>
    <x:row r="477">
      <x:c r="A477" s="15"/>
      <x:c r="B477" s="19"/>
      <x:c r="D477" s="23"/>
      <x:c r="E477" s="23"/>
      <x:c r="F477" s="23"/>
      <x:c r="G477" s="23"/>
    </x:row>
    <x:row r="478">
      <x:c r="A478" s="15"/>
      <x:c r="B478" s="19"/>
      <x:c r="D478" s="23"/>
      <x:c r="E478" s="23"/>
      <x:c r="F478" s="23"/>
      <x:c r="G478" s="23"/>
    </x:row>
    <x:row r="479">
      <x:c r="A479" s="15"/>
      <x:c r="B479" s="19"/>
      <x:c r="D479" s="23"/>
      <x:c r="E479" s="23"/>
      <x:c r="F479" s="23"/>
      <x:c r="G479" s="23"/>
    </x:row>
    <x:row r="480">
      <x:c r="A480" s="15"/>
      <x:c r="B480" s="19"/>
      <x:c r="D480" s="23"/>
      <x:c r="E480" s="23"/>
      <x:c r="F480" s="23"/>
      <x:c r="G480" s="23"/>
    </x:row>
    <x:row r="481">
      <x:c r="A481" s="15"/>
      <x:c r="B481" s="19"/>
      <x:c r="D481" s="23"/>
      <x:c r="E481" s="23"/>
      <x:c r="F481" s="23"/>
      <x:c r="G481" s="23"/>
    </x:row>
    <x:row r="482">
      <x:c r="A482" s="15"/>
      <x:c r="B482" s="19"/>
      <x:c r="D482" s="23"/>
      <x:c r="E482" s="23"/>
      <x:c r="F482" s="23"/>
      <x:c r="G482" s="23"/>
    </x:row>
    <x:row r="483">
      <x:c r="A483" s="15"/>
      <x:c r="B483" s="19"/>
      <x:c r="D483" s="23"/>
      <x:c r="E483" s="23"/>
      <x:c r="F483" s="23"/>
      <x:c r="G483" s="23"/>
    </x:row>
    <x:row r="484">
      <x:c r="A484" s="15"/>
      <x:c r="B484" s="19"/>
      <x:c r="D484" s="23"/>
      <x:c r="E484" s="23"/>
      <x:c r="F484" s="23"/>
      <x:c r="G484" s="23"/>
    </x:row>
    <x:row r="485">
      <x:c r="A485" s="15"/>
      <x:c r="B485" s="19"/>
      <x:c r="D485" s="23"/>
      <x:c r="E485" s="23"/>
      <x:c r="F485" s="23"/>
      <x:c r="G485" s="23"/>
    </x:row>
    <x:row r="486">
      <x:c r="A486" s="15"/>
      <x:c r="B486" s="19"/>
      <x:c r="D486" s="23"/>
      <x:c r="E486" s="23"/>
      <x:c r="F486" s="23"/>
      <x:c r="G486" s="23"/>
    </x:row>
    <x:row r="487">
      <x:c r="A487" s="15"/>
      <x:c r="B487" s="19"/>
      <x:c r="D487" s="23"/>
      <x:c r="E487" s="23"/>
      <x:c r="F487" s="23"/>
      <x:c r="G487" s="23"/>
    </x:row>
    <x:row r="488">
      <x:c r="A488" s="15"/>
      <x:c r="B488" s="19"/>
      <x:c r="D488" s="23"/>
      <x:c r="E488" s="23"/>
      <x:c r="F488" s="23"/>
      <x:c r="G488" s="23"/>
    </x:row>
    <x:row r="489">
      <x:c r="A489" s="15"/>
      <x:c r="B489" s="19"/>
      <x:c r="D489" s="23"/>
      <x:c r="E489" s="23"/>
      <x:c r="F489" s="23"/>
      <x:c r="G489" s="23"/>
    </x:row>
    <x:row r="490">
      <x:c r="A490" s="15"/>
      <x:c r="B490" s="19"/>
      <x:c r="D490" s="23"/>
      <x:c r="E490" s="23"/>
      <x:c r="F490" s="23"/>
      <x:c r="G490" s="23"/>
    </x:row>
    <x:row r="491">
      <x:c r="A491" s="15"/>
      <x:c r="B491" s="19"/>
      <x:c r="D491" s="23"/>
      <x:c r="E491" s="23"/>
      <x:c r="F491" s="23"/>
      <x:c r="G491" s="23"/>
    </x:row>
    <x:row r="492">
      <x:c r="A492" s="15"/>
      <x:c r="B492" s="19"/>
      <x:c r="D492" s="23"/>
      <x:c r="E492" s="23"/>
      <x:c r="F492" s="23"/>
      <x:c r="G492" s="23"/>
    </x:row>
    <x:row r="493">
      <x:c r="A493" s="15"/>
      <x:c r="B493" s="19"/>
      <x:c r="D493" s="23"/>
      <x:c r="E493" s="23"/>
      <x:c r="F493" s="23"/>
      <x:c r="G493" s="23"/>
    </x:row>
    <x:row r="494">
      <x:c r="A494" s="15"/>
      <x:c r="B494" s="19"/>
      <x:c r="D494" s="23"/>
      <x:c r="E494" s="23"/>
      <x:c r="F494" s="23"/>
      <x:c r="G494" s="23"/>
    </x:row>
    <x:row r="495">
      <x:c r="A495" s="15"/>
      <x:c r="B495" s="19"/>
      <x:c r="D495" s="23"/>
      <x:c r="E495" s="23"/>
      <x:c r="F495" s="23"/>
      <x:c r="G495" s="23"/>
    </x:row>
    <x:row r="496">
      <x:c r="A496" s="15"/>
      <x:c r="B496" s="19"/>
      <x:c r="D496" s="23"/>
      <x:c r="E496" s="23"/>
      <x:c r="F496" s="23"/>
      <x:c r="G496" s="23"/>
    </x:row>
    <x:row r="497">
      <x:c r="A497" s="15"/>
      <x:c r="B497" s="19"/>
      <x:c r="D497" s="23"/>
      <x:c r="E497" s="23"/>
      <x:c r="F497" s="23"/>
      <x:c r="G497" s="23"/>
    </x:row>
    <x:row r="498">
      <x:c r="A498" s="15"/>
      <x:c r="B498" s="19"/>
      <x:c r="D498" s="23"/>
      <x:c r="E498" s="23"/>
      <x:c r="F498" s="23"/>
      <x:c r="G498" s="23"/>
    </x:row>
    <x:row r="499">
      <x:c r="A499" s="15"/>
      <x:c r="B499" s="19"/>
      <x:c r="D499" s="23"/>
      <x:c r="E499" s="23"/>
      <x:c r="F499" s="23"/>
      <x:c r="G499" s="23"/>
    </x:row>
    <x:row r="500">
      <x:c r="A500" s="15"/>
      <x:c r="B500" s="19"/>
      <x:c r="D500" s="23"/>
      <x:c r="E500" s="23"/>
      <x:c r="F500" s="23"/>
      <x:c r="G500" s="23"/>
    </x:row>
  </x:sheetData>
  <x:pageMargins left="0.7" right="0.7" top="0.75" bottom="0.75" header="0.3" footer="0.3"/>
  <x:tableParts count="1">
    <x:tablePart xmlns:r="http://schemas.openxmlformats.org/officeDocument/2006/relationships" r:id="R8fec1f85f69a4df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16.1299991607666" hidden="0" customWidth="1"/>
    <x:col min="3" max="3" width="16.1299991607666" hidden="0" customWidth="1"/>
    <x:col min="4" max="4" width="17.5" hidden="0" customWidth="1"/>
    <x:col min="5" max="5" width="18" hidden="0" customWidth="1"/>
    <x:col min="6" max="6" width="17.25" hidden="0" customWidth="1"/>
    <x:col min="7" max="7" width="7.75" hidden="0" customWidth="1"/>
    <x:col min="8" max="8" width="7.880000114440918" hidden="0" customWidth="1"/>
  </x:cols>
  <x:sheetData>
    <x:row r="1" ht="32" hidden="0" customHeight="1">
      <x:c r="A1" s="6" t="str">
        <x:v>MaLuotBooking</x:v>
      </x:c>
      <x:c r="B1" s="6" t="str">
        <x:v>TGBooking</x:v>
      </x:c>
      <x:c r="C1" s="6" t="str">
        <x:v>STTBooking</x:v>
      </x:c>
      <x:c r="D1" s="6" t="str">
        <x:v>TGBatDauKhopCan</x:v>
      </x:c>
      <x:c r="E1" s="6" t="str">
        <x:v>TGKetThucKhopCan</x:v>
      </x:c>
      <x:c r="F1" s="6" t="str">
        <x:v>TrangThaiKhopCan</x:v>
      </x:c>
      <x:c r="G1" s="6" t="str">
        <x:v>MaDA</x:v>
      </x:c>
      <x:c r="H1" s="6" t="str">
        <x:v>MaNV</x:v>
      </x:c>
    </x:row>
    <x:row r="2" ht="15" hidden="0" customHeight="1">
      <x:c r="A2" s="14" t="str">
        <x:v>LHSG001</x:v>
      </x:c>
      <x:c r="B2" s="26" t="n">
        <x:v>46162.375</x:v>
      </x:c>
      <x:c r="C2" s="26" t="n">
        <x:v>1</x:v>
      </x:c>
      <x:c r="D2" s="26" t="n">
        <x:v>46176.458333333336</x:v>
      </x:c>
      <x:c r="E2" s="26" t="n">
        <x:v>46176.46527777778</x:v>
      </x:c>
      <x:c r="F2" s="12" t="str">
        <x:v>Đã khớp</x:v>
      </x:c>
      <x:c r="G2" s="14" t="str">
        <x:v>DA003</x:v>
      </x:c>
      <x:c r="H2" s="14" t="str">
        <x:v>NV001</x:v>
      </x:c>
    </x:row>
    <x:row r="3" ht="15" hidden="0" customHeight="1">
      <x:c r="A3" s="14" t="str">
        <x:v>LHSG002</x:v>
      </x:c>
      <x:c r="B3" s="26" t="n">
        <x:v>46162.399305555555</x:v>
      </x:c>
      <x:c r="C3" s="26" t="n">
        <x:v>2</x:v>
      </x:c>
      <x:c r="D3" s="26" t="n">
        <x:v>46176.48263888889</x:v>
      </x:c>
      <x:c r="E3" s="26" t="n">
        <x:v>46176.489583333336</x:v>
      </x:c>
      <x:c r="F3" s="12" t="str">
        <x:v>Chưa khớp</x:v>
      </x:c>
      <x:c r="G3" s="14" t="str">
        <x:v>DA003</x:v>
      </x:c>
      <x:c r="H3" s="14" t="str">
        <x:v>NV002</x:v>
      </x:c>
    </x:row>
    <x:row r="4" ht="15" hidden="0" customHeight="1">
      <x:c r="A4" s="14" t="str">
        <x:v>LHSG003</x:v>
      </x:c>
      <x:c r="B4" s="26" t="n">
        <x:v>46162.42361111111</x:v>
      </x:c>
      <x:c r="C4" s="26" t="n">
        <x:v>3</x:v>
      </x:c>
      <x:c r="D4" s="26" t="n">
        <x:v>46176.506944444445</x:v>
      </x:c>
      <x:c r="E4" s="26" t="n">
        <x:v>46176.51388888889</x:v>
      </x:c>
      <x:c r="F4" s="12" t="str">
        <x:v>Hết thời gian</x:v>
      </x:c>
      <x:c r="G4" s="14" t="str">
        <x:v>DA003</x:v>
      </x:c>
      <x:c r="H4" s="14" t="str">
        <x:v>NV003</x:v>
      </x:c>
    </x:row>
    <x:row r="5" ht="15" hidden="0" customHeight="1">
      <x:c r="A5" s="14" t="str">
        <x:v>LHSG004</x:v>
      </x:c>
      <x:c r="B5" s="26" t="n">
        <x:v>46163.375</x:v>
      </x:c>
      <x:c r="C5" s="26" t="n">
        <x:v>4</x:v>
      </x:c>
      <x:c r="D5" s="26" t="n">
        <x:v>46177.458333333336</x:v>
      </x:c>
      <x:c r="E5" s="26" t="n">
        <x:v>46177.46527777778</x:v>
      </x:c>
      <x:c r="F5" s="12" t="str">
        <x:v>Đã khớp</x:v>
      </x:c>
      <x:c r="G5" s="14" t="str">
        <x:v>DA003</x:v>
      </x:c>
      <x:c r="H5" s="14" t="str">
        <x:v>NV004</x:v>
      </x:c>
    </x:row>
    <x:row r="6" ht="15" hidden="0" customHeight="1">
      <x:c r="A6" s="14" t="str">
        <x:v>LHSG005</x:v>
      </x:c>
      <x:c r="B6" s="26" t="n">
        <x:v>46163.399305555555</x:v>
      </x:c>
      <x:c r="C6" s="26" t="n">
        <x:v>5</x:v>
      </x:c>
      <x:c r="D6" s="26" t="n">
        <x:v>46177.48263888889</x:v>
      </x:c>
      <x:c r="E6" s="26" t="n">
        <x:v>46177.489583333336</x:v>
      </x:c>
      <x:c r="F6" s="12" t="str">
        <x:v>Đã khớp</x:v>
      </x:c>
      <x:c r="G6" s="14" t="str">
        <x:v>DA003</x:v>
      </x:c>
      <x:c r="H6" s="14" t="str">
        <x:v>NV005</x:v>
      </x:c>
    </x:row>
    <x:row r="7" ht="15" hidden="0" customHeight="1">
      <x:c r="A7" s="14" t="str">
        <x:v>LHSG006</x:v>
      </x:c>
      <x:c r="B7" s="26" t="n">
        <x:v>46163.42361111111</x:v>
      </x:c>
      <x:c r="C7" s="26" t="n">
        <x:v>6</x:v>
      </x:c>
      <x:c r="D7" s="26" t="n">
        <x:v>46177.506944444445</x:v>
      </x:c>
      <x:c r="E7" s="26" t="n">
        <x:v>46177.51388888889</x:v>
      </x:c>
      <x:c r="F7" s="12" t="str">
        <x:v>Chưa khớp</x:v>
      </x:c>
      <x:c r="G7" s="14" t="str">
        <x:v>DA003</x:v>
      </x:c>
      <x:c r="H7" s="14" t="str">
        <x:v>NV006</x:v>
      </x:c>
    </x:row>
    <x:row r="8" ht="15" hidden="0" customHeight="1">
      <x:c r="A8" s="14" t="str">
        <x:v>LHSG007</x:v>
      </x:c>
      <x:c r="B8" s="26" t="n">
        <x:v>46164.375</x:v>
      </x:c>
      <x:c r="C8" s="26" t="n">
        <x:v>7</x:v>
      </x:c>
      <x:c r="D8" s="26" t="n">
        <x:v>46178.458333333336</x:v>
      </x:c>
      <x:c r="E8" s="26" t="n">
        <x:v>46178.46527777778</x:v>
      </x:c>
      <x:c r="F8" s="12" t="str">
        <x:v>Hết thời gian</x:v>
      </x:c>
      <x:c r="G8" s="14" t="str">
        <x:v>DA003</x:v>
      </x:c>
      <x:c r="H8" s="14" t="str">
        <x:v>NV001</x:v>
      </x:c>
    </x:row>
    <x:row r="9" ht="15" hidden="0" customHeight="1">
      <x:c r="A9" s="14" t="str">
        <x:v>LHSG008</x:v>
      </x:c>
      <x:c r="B9" s="26" t="n">
        <x:v>46164.399305555555</x:v>
      </x:c>
      <x:c r="C9" s="26" t="n">
        <x:v>8</x:v>
      </x:c>
      <x:c r="D9" s="26" t="n">
        <x:v>46178.48263888889</x:v>
      </x:c>
      <x:c r="E9" s="26" t="n">
        <x:v>46178.489583333336</x:v>
      </x:c>
      <x:c r="F9" s="12" t="str">
        <x:v>Đã khớp</x:v>
      </x:c>
      <x:c r="G9" s="14" t="str">
        <x:v>DA003</x:v>
      </x:c>
      <x:c r="H9" s="14" t="str">
        <x:v>NV002</x:v>
      </x:c>
    </x:row>
    <x:row r="10" ht="15" hidden="0" customHeight="1">
      <x:c r="A10" s="14" t="str">
        <x:v>LHSG009</x:v>
      </x:c>
      <x:c r="B10" s="26" t="n">
        <x:v>46164.42361111111</x:v>
      </x:c>
      <x:c r="C10" s="26" t="n">
        <x:v>9</x:v>
      </x:c>
      <x:c r="D10" s="26" t="n">
        <x:v>46178.506944444445</x:v>
      </x:c>
      <x:c r="E10" s="26" t="n">
        <x:v>46178.51388888889</x:v>
      </x:c>
      <x:c r="F10" s="12" t="str">
        <x:v>Đã khớp</x:v>
      </x:c>
      <x:c r="G10" s="14" t="str">
        <x:v>DA003</x:v>
      </x:c>
      <x:c r="H10" s="14" t="str">
        <x:v>NV003</x:v>
      </x:c>
    </x:row>
    <x:row r="11" ht="15" hidden="0" customHeight="1">
      <x:c r="A11" s="14" t="str">
        <x:v>LHSG010</x:v>
      </x:c>
      <x:c r="B11" s="26" t="n">
        <x:v>46165.375</x:v>
      </x:c>
      <x:c r="C11" s="26" t="n">
        <x:v>10</x:v>
      </x:c>
      <x:c r="D11" s="26" t="n">
        <x:v>46179.458333333336</x:v>
      </x:c>
      <x:c r="E11" s="26" t="n">
        <x:v>46179.46527777778</x:v>
      </x:c>
      <x:c r="F11" s="12" t="str">
        <x:v>Chưa khớp</x:v>
      </x:c>
      <x:c r="G11" s="14" t="str">
        <x:v>DA003</x:v>
      </x:c>
      <x:c r="H11" s="14" t="str">
        <x:v>NV004</x:v>
      </x:c>
    </x:row>
    <x:row r="12" ht="15" hidden="0" customHeight="1">
      <x:c r="A12" s="14" t="str">
        <x:v>MGC001</x:v>
      </x:c>
      <x:c r="B12" s="26" t="n">
        <x:v>46165.399305555555</x:v>
      </x:c>
      <x:c r="C12" s="26" t="n">
        <x:v>1</x:v>
      </x:c>
      <x:c r="D12" s="26" t="n">
        <x:v>46179.48263888889</x:v>
      </x:c>
      <x:c r="E12" s="26" t="n">
        <x:v>46179.489583333336</x:v>
      </x:c>
      <x:c r="F12" s="12" t="str">
        <x:v>Hết thời gian</x:v>
      </x:c>
      <x:c r="G12" s="14" t="str">
        <x:v>DA004</x:v>
      </x:c>
      <x:c r="H12" s="14" t="str">
        <x:v>NV005</x:v>
      </x:c>
    </x:row>
    <x:row r="13" ht="15" hidden="0" customHeight="1">
      <x:c r="A13" s="14" t="str">
        <x:v>MGC002</x:v>
      </x:c>
      <x:c r="B13" s="26" t="n">
        <x:v>46165.42361111111</x:v>
      </x:c>
      <x:c r="C13" s="26" t="n">
        <x:v>2</x:v>
      </x:c>
      <x:c r="D13" s="26" t="n">
        <x:v>46179.506944444445</x:v>
      </x:c>
      <x:c r="E13" s="26" t="n">
        <x:v>46179.51388888889</x:v>
      </x:c>
      <x:c r="F13" s="12" t="str">
        <x:v>Đã khớp</x:v>
      </x:c>
      <x:c r="G13" s="14" t="str">
        <x:v>DA004</x:v>
      </x:c>
      <x:c r="H13" s="14" t="str">
        <x:v>NV006</x:v>
      </x:c>
    </x:row>
    <x:row r="14" ht="15" hidden="0" customHeight="1">
      <x:c r="A14" s="14" t="str">
        <x:v>MGC003</x:v>
      </x:c>
      <x:c r="B14" s="26" t="n">
        <x:v>46166.375</x:v>
      </x:c>
      <x:c r="C14" s="26" t="n">
        <x:v>3</x:v>
      </x:c>
      <x:c r="D14" s="26" t="n">
        <x:v>46180.458333333336</x:v>
      </x:c>
      <x:c r="E14" s="26" t="n">
        <x:v>46180.46527777778</x:v>
      </x:c>
      <x:c r="F14" s="12" t="str">
        <x:v>Đã khớp</x:v>
      </x:c>
      <x:c r="G14" s="14" t="str">
        <x:v>DA004</x:v>
      </x:c>
      <x:c r="H14" s="14" t="str">
        <x:v>NV001</x:v>
      </x:c>
    </x:row>
    <x:row r="15" ht="15" hidden="0" customHeight="1">
      <x:c r="A15" s="14" t="str">
        <x:v>MGC004</x:v>
      </x:c>
      <x:c r="B15" s="26" t="n">
        <x:v>46166.399305555555</x:v>
      </x:c>
      <x:c r="C15" s="26" t="n">
        <x:v>4</x:v>
      </x:c>
      <x:c r="D15" s="26" t="n">
        <x:v>46180.48263888889</x:v>
      </x:c>
      <x:c r="E15" s="26" t="n">
        <x:v>46180.489583333336</x:v>
      </x:c>
      <x:c r="F15" s="12" t="str">
        <x:v>Chưa khớp</x:v>
      </x:c>
      <x:c r="G15" s="14" t="str">
        <x:v>DA004</x:v>
      </x:c>
      <x:c r="H15" s="14" t="str">
        <x:v>NV002</x:v>
      </x:c>
    </x:row>
    <x:row r="16" ht="15" hidden="0" customHeight="1">
      <x:c r="A16" s="14" t="str">
        <x:v>MGC005</x:v>
      </x:c>
      <x:c r="B16" s="26" t="n">
        <x:v>46166.42361111111</x:v>
      </x:c>
      <x:c r="C16" s="26" t="n">
        <x:v>5</x:v>
      </x:c>
      <x:c r="D16" s="26" t="n">
        <x:v>46180.506944444445</x:v>
      </x:c>
      <x:c r="E16" s="26" t="n">
        <x:v>46180.51388888889</x:v>
      </x:c>
      <x:c r="F16" s="12" t="str">
        <x:v>Hết thời gian</x:v>
      </x:c>
      <x:c r="G16" s="14" t="str">
        <x:v>DA004</x:v>
      </x:c>
      <x:c r="H16" s="14" t="str">
        <x:v>NV003</x:v>
      </x:c>
    </x:row>
    <x:row r="17" ht="15" hidden="0" customHeight="1">
      <x:c r="A17" s="14" t="str">
        <x:v>MGC006</x:v>
      </x:c>
      <x:c r="B17" s="26" t="n">
        <x:v>46167.375</x:v>
      </x:c>
      <x:c r="C17" s="26" t="n">
        <x:v>6</x:v>
      </x:c>
      <x:c r="D17" s="26" t="n">
        <x:v>46181.458333333336</x:v>
      </x:c>
      <x:c r="E17" s="26" t="n">
        <x:v>46181.46527777778</x:v>
      </x:c>
      <x:c r="F17" s="12" t="str">
        <x:v>Đã khớp</x:v>
      </x:c>
      <x:c r="G17" s="14" t="str">
        <x:v>DA004</x:v>
      </x:c>
      <x:c r="H17" s="14" t="str">
        <x:v>NV004</x:v>
      </x:c>
    </x:row>
    <x:row r="18" ht="15" hidden="0" customHeight="1">
      <x:c r="A18" s="14" t="str">
        <x:v>MGC007</x:v>
      </x:c>
      <x:c r="B18" s="26" t="n">
        <x:v>46167.399305555555</x:v>
      </x:c>
      <x:c r="C18" s="26" t="n">
        <x:v>7</x:v>
      </x:c>
      <x:c r="D18" s="26" t="n">
        <x:v>46181.48263888889</x:v>
      </x:c>
      <x:c r="E18" s="26" t="n">
        <x:v>46181.489583333336</x:v>
      </x:c>
      <x:c r="F18" s="12" t="str">
        <x:v>Đã khớp</x:v>
      </x:c>
      <x:c r="G18" s="14" t="str">
        <x:v>DA004</x:v>
      </x:c>
      <x:c r="H18" s="14" t="str">
        <x:v>NV005</x:v>
      </x:c>
    </x:row>
    <x:row r="19" ht="15" hidden="0" customHeight="1">
      <x:c r="A19" s="14" t="str">
        <x:v>MGC008</x:v>
      </x:c>
      <x:c r="B19" s="26" t="n">
        <x:v>46167.42361111111</x:v>
      </x:c>
      <x:c r="C19" s="26" t="n">
        <x:v>8</x:v>
      </x:c>
      <x:c r="D19" s="26" t="n">
        <x:v>46181.506944444445</x:v>
      </x:c>
      <x:c r="E19" s="26" t="n">
        <x:v>46181.51388888889</x:v>
      </x:c>
      <x:c r="F19" s="12" t="str">
        <x:v>Chưa khớp</x:v>
      </x:c>
      <x:c r="G19" s="14" t="str">
        <x:v>DA004</x:v>
      </x:c>
      <x:c r="H19" s="14" t="str">
        <x:v>NV006</x:v>
      </x:c>
    </x:row>
    <x:row r="20" ht="15" hidden="0" customHeight="1">
      <x:c r="A20" s="14" t="str">
        <x:v>MGC009</x:v>
      </x:c>
      <x:c r="B20" s="26" t="n">
        <x:v>46168.375</x:v>
      </x:c>
      <x:c r="C20" s="26" t="n">
        <x:v>9</x:v>
      </x:c>
      <x:c r="D20" s="26" t="n">
        <x:v>46182.458333333336</x:v>
      </x:c>
      <x:c r="E20" s="26" t="n">
        <x:v>46182.46527777778</x:v>
      </x:c>
      <x:c r="F20" s="12" t="str">
        <x:v>Hết thời gian</x:v>
      </x:c>
      <x:c r="G20" s="14" t="str">
        <x:v>DA004</x:v>
      </x:c>
      <x:c r="H20" s="14" t="str">
        <x:v>NV001</x:v>
      </x:c>
    </x:row>
    <x:row r="21" ht="15" hidden="0" customHeight="1">
      <x:c r="A21" s="14" t="str">
        <x:v>MGC010</x:v>
      </x:c>
      <x:c r="B21" s="26" t="n">
        <x:v>46168.399305555555</x:v>
      </x:c>
      <x:c r="C21" s="26" t="n">
        <x:v>10</x:v>
      </x:c>
      <x:c r="D21" s="26" t="n">
        <x:v>46182.48263888889</x:v>
      </x:c>
      <x:c r="E21" s="26" t="n">
        <x:v>46182.489583333336</x:v>
      </x:c>
      <x:c r="F21" s="12" t="str">
        <x:v>Đã khớp</x:v>
      </x:c>
      <x:c r="G21" s="14" t="str">
        <x:v>DA004</x:v>
      </x:c>
      <x:c r="H21" s="14" t="str">
        <x:v>NV002</x:v>
      </x:c>
    </x:row>
    <x:row r="22" ht="15" hidden="0" customHeight="1">
      <x:c r="A22" s="14" t="str">
        <x:v>MGC011</x:v>
      </x:c>
      <x:c r="B22" s="26" t="n">
        <x:v>46168.42361111111</x:v>
      </x:c>
      <x:c r="C22" s="26" t="n">
        <x:v>11</x:v>
      </x:c>
      <x:c r="D22" s="26" t="n">
        <x:v>46182.506944444445</x:v>
      </x:c>
      <x:c r="E22" s="26" t="n">
        <x:v>46182.51388888889</x:v>
      </x:c>
      <x:c r="F22" s="12" t="str">
        <x:v>Đã khớp</x:v>
      </x:c>
      <x:c r="G22" s="14" t="str">
        <x:v>DA004</x:v>
      </x:c>
      <x:c r="H22" s="14" t="str">
        <x:v>NV003</x:v>
      </x:c>
    </x:row>
    <x:row r="23" ht="15" hidden="0" customHeight="1">
      <x:c r="A23" s="14" t="str">
        <x:v>MGC012</x:v>
      </x:c>
      <x:c r="B23" s="26" t="n">
        <x:v>46169.375</x:v>
      </x:c>
      <x:c r="C23" s="26" t="n">
        <x:v>12</x:v>
      </x:c>
      <x:c r="D23" s="26" t="n">
        <x:v>46183.458333333336</x:v>
      </x:c>
      <x:c r="E23" s="26" t="n">
        <x:v>46183.46527777778</x:v>
      </x:c>
      <x:c r="F23" s="12" t="str">
        <x:v>Chưa khớp</x:v>
      </x:c>
      <x:c r="G23" s="14" t="str">
        <x:v>DA004</x:v>
      </x:c>
      <x:c r="H23" s="14" t="str">
        <x:v>NV004</x:v>
      </x:c>
    </x:row>
    <x:row r="24" ht="15" hidden="0" customHeight="1">
      <x:c r="A24" s="14" t="str">
        <x:v>MGC013</x:v>
      </x:c>
      <x:c r="B24" s="26" t="n">
        <x:v>46169.399305555555</x:v>
      </x:c>
      <x:c r="C24" s="26" t="n">
        <x:v>13</x:v>
      </x:c>
      <x:c r="D24" s="26" t="n">
        <x:v>46183.48263888889</x:v>
      </x:c>
      <x:c r="E24" s="26" t="n">
        <x:v>46183.489583333336</x:v>
      </x:c>
      <x:c r="F24" s="12" t="str">
        <x:v>Hết thời gian</x:v>
      </x:c>
      <x:c r="G24" s="14" t="str">
        <x:v>DA004</x:v>
      </x:c>
      <x:c r="H24" s="14" t="str">
        <x:v>NV005</x:v>
      </x:c>
    </x:row>
    <x:row r="25" ht="15" hidden="0" customHeight="1">
      <x:c r="A25" s="14" t="str">
        <x:v>MGC014</x:v>
      </x:c>
      <x:c r="B25" s="26" t="n">
        <x:v>46169.42361111111</x:v>
      </x:c>
      <x:c r="C25" s="26" t="n">
        <x:v>14</x:v>
      </x:c>
      <x:c r="D25" s="26" t="n">
        <x:v>46183.506944444445</x:v>
      </x:c>
      <x:c r="E25" s="26" t="n">
        <x:v>46183.51388888889</x:v>
      </x:c>
      <x:c r="F25" s="12" t="str">
        <x:v>Đã khớp</x:v>
      </x:c>
      <x:c r="G25" s="14" t="str">
        <x:v>DA004</x:v>
      </x:c>
      <x:c r="H25" s="14" t="str">
        <x:v>NV006</x:v>
      </x:c>
    </x:row>
    <x:row r="26">
      <x:c r="A26" s="15" t="str">
        <x:v>LPP001</x:v>
      </x:c>
      <x:c r="B26" s="27" t="n">
        <x:v>46254.375</x:v>
      </x:c>
      <x:c r="C26" s="27" t="n">
        <x:v>1</x:v>
      </x:c>
      <x:c r="D26" s="27"/>
      <x:c r="E26" s="27"/>
      <x:c r="F26" t="str">
        <x:v>Chưa khớp</x:v>
      </x:c>
      <x:c r="G26" s="15" t="str">
        <x:v>DA005</x:v>
      </x:c>
      <x:c r="H26" s="15" t="str">
        <x:v>NV001</x:v>
      </x:c>
    </x:row>
    <x:row r="27">
      <x:c r="A27" s="15" t="str">
        <x:v>LPP002</x:v>
      </x:c>
      <x:c r="B27" s="27" t="n">
        <x:v>46254.5625</x:v>
      </x:c>
      <x:c r="C27" s="27" t="n">
        <x:v>2</x:v>
      </x:c>
      <x:c r="D27" s="27"/>
      <x:c r="E27" s="27"/>
      <x:c r="F27" t="str">
        <x:v>Chưa khớp</x:v>
      </x:c>
      <x:c r="G27" s="15" t="str">
        <x:v>DA005</x:v>
      </x:c>
      <x:c r="H27" s="15" t="str">
        <x:v>NV002</x:v>
      </x:c>
    </x:row>
    <x:row r="28">
      <x:c r="A28" s="15" t="str">
        <x:v>LPP003</x:v>
      </x:c>
      <x:c r="B28" s="27" t="n">
        <x:v>46254.75</x:v>
      </x:c>
      <x:c r="C28" s="27" t="n">
        <x:v>3</x:v>
      </x:c>
      <x:c r="D28" s="27"/>
      <x:c r="E28" s="27"/>
      <x:c r="F28" t="str">
        <x:v>Chưa khớp</x:v>
      </x:c>
      <x:c r="G28" s="15" t="str">
        <x:v>DA005</x:v>
      </x:c>
      <x:c r="H28" s="15" t="str">
        <x:v>NV003</x:v>
      </x:c>
    </x:row>
    <x:row r="29">
      <x:c r="A29" s="15" t="str">
        <x:v>LPP004</x:v>
      </x:c>
      <x:c r="B29" s="27" t="n">
        <x:v>46254.875</x:v>
      </x:c>
      <x:c r="C29" s="27" t="n">
        <x:v>4</x:v>
      </x:c>
      <x:c r="D29" s="27"/>
      <x:c r="E29" s="27"/>
      <x:c r="F29" t="str">
        <x:v>Chưa khớp</x:v>
      </x:c>
      <x:c r="G29" s="15" t="str">
        <x:v>DA005</x:v>
      </x:c>
      <x:c r="H29" s="15" t="str">
        <x:v>NV004</x:v>
      </x:c>
    </x:row>
    <x:row r="30">
      <x:c r="A30" s="15" t="str">
        <x:v>LPP005</x:v>
      </x:c>
      <x:c r="B30" s="27" t="n">
        <x:v>46255.0625</x:v>
      </x:c>
      <x:c r="C30" s="27" t="n">
        <x:v>5</x:v>
      </x:c>
      <x:c r="D30" s="27"/>
      <x:c r="E30" s="27"/>
      <x:c r="F30" t="str">
        <x:v>Chưa khớp</x:v>
      </x:c>
      <x:c r="G30" s="15" t="str">
        <x:v>DA005</x:v>
      </x:c>
      <x:c r="H30" s="15" t="str">
        <x:v>NV005</x:v>
      </x:c>
    </x:row>
    <x:row r="31">
      <x:c r="A31" s="15" t="str">
        <x:v>LPP006</x:v>
      </x:c>
      <x:c r="B31" s="27" t="n">
        <x:v>46255.25</x:v>
      </x:c>
      <x:c r="C31" s="27" t="n">
        <x:v>6</x:v>
      </x:c>
      <x:c r="D31" s="27"/>
      <x:c r="E31" s="27"/>
      <x:c r="F31" t="str">
        <x:v>Chưa khớp</x:v>
      </x:c>
      <x:c r="G31" s="15" t="str">
        <x:v>DA005</x:v>
      </x:c>
      <x:c r="H31" s="15" t="str">
        <x:v>NV006</x:v>
      </x:c>
    </x:row>
    <x:row r="32">
      <x:c r="A32" s="15" t="str">
        <x:v>LPP007</x:v>
      </x:c>
      <x:c r="B32" s="27" t="n">
        <x:v>46255.375</x:v>
      </x:c>
      <x:c r="C32" s="27" t="n">
        <x:v>7</x:v>
      </x:c>
      <x:c r="D32" s="27"/>
      <x:c r="E32" s="27"/>
      <x:c r="F32" t="str">
        <x:v>Chưa khớp</x:v>
      </x:c>
      <x:c r="G32" s="15" t="str">
        <x:v>DA005</x:v>
      </x:c>
      <x:c r="H32" s="15" t="str">
        <x:v>NV011</x:v>
      </x:c>
    </x:row>
    <x:row r="33">
      <x:c r="A33" s="15" t="str">
        <x:v>LPP008</x:v>
      </x:c>
      <x:c r="B33" s="27" t="n">
        <x:v>46255.5625</x:v>
      </x:c>
      <x:c r="C33" s="27" t="n">
        <x:v>8</x:v>
      </x:c>
      <x:c r="D33" s="27"/>
      <x:c r="E33" s="27"/>
      <x:c r="F33" t="str">
        <x:v>Chưa khớp</x:v>
      </x:c>
      <x:c r="G33" s="15" t="str">
        <x:v>DA005</x:v>
      </x:c>
      <x:c r="H33" s="15" t="str">
        <x:v>NV012</x:v>
      </x:c>
    </x:row>
    <x:row r="34">
      <x:c r="A34" s="15" t="str">
        <x:v>LPP009</x:v>
      </x:c>
      <x:c r="B34" s="27" t="n">
        <x:v>46255.75</x:v>
      </x:c>
      <x:c r="C34" s="27" t="n">
        <x:v>9</x:v>
      </x:c>
      <x:c r="D34" s="27"/>
      <x:c r="E34" s="27"/>
      <x:c r="F34" t="str">
        <x:v>Chưa khớp</x:v>
      </x:c>
      <x:c r="G34" s="15" t="str">
        <x:v>DA005</x:v>
      </x:c>
      <x:c r="H34" s="15" t="str">
        <x:v>NV013</x:v>
      </x:c>
    </x:row>
    <x:row r="35">
      <x:c r="A35" s="15" t="str">
        <x:v>LPP010</x:v>
      </x:c>
      <x:c r="B35" s="27" t="n">
        <x:v>46255.875</x:v>
      </x:c>
      <x:c r="C35" s="27" t="n">
        <x:v>10</x:v>
      </x:c>
      <x:c r="D35" s="27"/>
      <x:c r="E35" s="27"/>
      <x:c r="F35" t="str">
        <x:v>Chưa khớp</x:v>
      </x:c>
      <x:c r="G35" s="15" t="str">
        <x:v>DA005</x:v>
      </x:c>
      <x:c r="H35" s="15" t="str">
        <x:v>NV001</x:v>
      </x:c>
    </x:row>
    <x:row r="36">
      <x:c r="A36" s="15" t="str">
        <x:v>LPP011</x:v>
      </x:c>
      <x:c r="B36" s="27" t="n">
        <x:v>46256.0625</x:v>
      </x:c>
      <x:c r="C36" s="27" t="n">
        <x:v>11</x:v>
      </x:c>
      <x:c r="D36" s="27"/>
      <x:c r="E36" s="27"/>
      <x:c r="F36" t="str">
        <x:v>Chưa khớp</x:v>
      </x:c>
      <x:c r="G36" s="15" t="str">
        <x:v>DA005</x:v>
      </x:c>
      <x:c r="H36" s="15" t="str">
        <x:v>NV002</x:v>
      </x:c>
    </x:row>
    <x:row r="37">
      <x:c r="A37" s="15" t="str">
        <x:v>LPP012</x:v>
      </x:c>
      <x:c r="B37" s="27" t="n">
        <x:v>46256.25</x:v>
      </x:c>
      <x:c r="C37" s="27" t="n">
        <x:v>12</x:v>
      </x:c>
      <x:c r="D37" s="27"/>
      <x:c r="E37" s="27"/>
      <x:c r="F37" t="str">
        <x:v>Chưa khớp</x:v>
      </x:c>
      <x:c r="G37" s="15" t="str">
        <x:v>DA005</x:v>
      </x:c>
      <x:c r="H37" s="15" t="str">
        <x:v>NV003</x:v>
      </x:c>
    </x:row>
    <x:row r="38">
      <x:c r="A38" s="15" t="str">
        <x:v>MPV001</x:v>
      </x:c>
      <x:c r="B38" s="27" t="n">
        <x:v>46255.416666666664</x:v>
      </x:c>
      <x:c r="C38" s="27" t="n">
        <x:v>1</x:v>
      </x:c>
      <x:c r="D38" s="27"/>
      <x:c r="E38" s="27"/>
      <x:c r="F38" t="str">
        <x:v>Chưa khớp</x:v>
      </x:c>
      <x:c r="G38" s="15" t="str">
        <x:v>DA006</x:v>
      </x:c>
      <x:c r="H38" s="15" t="str">
        <x:v>NV004</x:v>
      </x:c>
    </x:row>
    <x:row r="39">
      <x:c r="A39" s="15" t="str">
        <x:v>MPV002</x:v>
      </x:c>
      <x:c r="B39" s="27" t="n">
        <x:v>46255.65625</x:v>
      </x:c>
      <x:c r="C39" s="27" t="n">
        <x:v>2</x:v>
      </x:c>
      <x:c r="D39" s="27"/>
      <x:c r="E39" s="27"/>
      <x:c r="F39" t="str">
        <x:v>Chưa khớp</x:v>
      </x:c>
      <x:c r="G39" s="15" t="str">
        <x:v>DA006</x:v>
      </x:c>
      <x:c r="H39" s="15" t="str">
        <x:v>NV005</x:v>
      </x:c>
    </x:row>
    <x:row r="40">
      <x:c r="A40" s="15" t="str">
        <x:v>MPV003</x:v>
      </x:c>
      <x:c r="B40" s="27" t="n">
        <x:v>46255.833333333336</x:v>
      </x:c>
      <x:c r="C40" s="27" t="n">
        <x:v>3</x:v>
      </x:c>
      <x:c r="D40" s="27"/>
      <x:c r="E40" s="27"/>
      <x:c r="F40" t="str">
        <x:v>Chưa khớp</x:v>
      </x:c>
      <x:c r="G40" s="15" t="str">
        <x:v>DA006</x:v>
      </x:c>
      <x:c r="H40" s="15" t="str">
        <x:v>NV006</x:v>
      </x:c>
    </x:row>
    <x:row r="41">
      <x:c r="A41" s="15" t="str">
        <x:v>MPV004</x:v>
      </x:c>
      <x:c r="B41" s="27" t="n">
        <x:v>46256.072916666664</x:v>
      </x:c>
      <x:c r="C41" s="27" t="n">
        <x:v>4</x:v>
      </x:c>
      <x:c r="D41" s="27"/>
      <x:c r="E41" s="27"/>
      <x:c r="F41" t="str">
        <x:v>Chưa khớp</x:v>
      </x:c>
      <x:c r="G41" s="15" t="str">
        <x:v>DA006</x:v>
      </x:c>
      <x:c r="H41" s="15" t="str">
        <x:v>NV011</x:v>
      </x:c>
    </x:row>
    <x:row r="42">
      <x:c r="A42" s="15" t="str">
        <x:v>MPV005</x:v>
      </x:c>
      <x:c r="B42" s="27" t="n">
        <x:v>46256.25</x:v>
      </x:c>
      <x:c r="C42" s="27" t="n">
        <x:v>5</x:v>
      </x:c>
      <x:c r="D42" s="27"/>
      <x:c r="E42" s="27"/>
      <x:c r="F42" t="str">
        <x:v>Chưa khớp</x:v>
      </x:c>
      <x:c r="G42" s="15" t="str">
        <x:v>DA006</x:v>
      </x:c>
      <x:c r="H42" s="15" t="str">
        <x:v>NV012</x:v>
      </x:c>
    </x:row>
    <x:row r="43">
      <x:c r="A43" s="15" t="str">
        <x:v>MPV006</x:v>
      </x:c>
      <x:c r="B43" s="27" t="n">
        <x:v>46256.489583333336</x:v>
      </x:c>
      <x:c r="C43" s="27" t="n">
        <x:v>6</x:v>
      </x:c>
      <x:c r="D43" s="27"/>
      <x:c r="E43" s="27"/>
      <x:c r="F43" t="str">
        <x:v>Chưa khớp</x:v>
      </x:c>
      <x:c r="G43" s="15" t="str">
        <x:v>DA006</x:v>
      </x:c>
      <x:c r="H43" s="15" t="str">
        <x:v>NV013</x:v>
      </x:c>
    </x:row>
    <x:row r="44">
      <x:c r="A44" s="15" t="str">
        <x:v>MPV007</x:v>
      </x:c>
      <x:c r="B44" s="27" t="n">
        <x:v>46256.666666666664</x:v>
      </x:c>
      <x:c r="C44" s="27" t="n">
        <x:v>7</x:v>
      </x:c>
      <x:c r="D44" s="27"/>
      <x:c r="E44" s="27"/>
      <x:c r="F44" t="str">
        <x:v>Chưa khớp</x:v>
      </x:c>
      <x:c r="G44" s="15" t="str">
        <x:v>DA006</x:v>
      </x:c>
      <x:c r="H44" s="15" t="str">
        <x:v>NV001</x:v>
      </x:c>
    </x:row>
    <x:row r="45">
      <x:c r="A45" s="15" t="str">
        <x:v>MPV008</x:v>
      </x:c>
      <x:c r="B45" s="27" t="n">
        <x:v>46256.90625</x:v>
      </x:c>
      <x:c r="C45" s="27" t="n">
        <x:v>8</x:v>
      </x:c>
      <x:c r="D45" s="27"/>
      <x:c r="E45" s="27"/>
      <x:c r="F45" t="str">
        <x:v>Chưa khớp</x:v>
      </x:c>
      <x:c r="G45" s="15" t="str">
        <x:v>DA006</x:v>
      </x:c>
      <x:c r="H45" s="15" t="str">
        <x:v>NV002</x:v>
      </x:c>
    </x:row>
    <x:row r="46">
      <x:c r="A46" s="15" t="str">
        <x:v>MPV009</x:v>
      </x:c>
      <x:c r="B46" s="27" t="n">
        <x:v>46257.083333333336</x:v>
      </x:c>
      <x:c r="C46" s="27" t="n">
        <x:v>9</x:v>
      </x:c>
      <x:c r="D46" s="27"/>
      <x:c r="E46" s="27"/>
      <x:c r="F46" t="str">
        <x:v>Chưa khớp</x:v>
      </x:c>
      <x:c r="G46" s="15" t="str">
        <x:v>DA006</x:v>
      </x:c>
      <x:c r="H46" s="15" t="str">
        <x:v>NV003</x:v>
      </x:c>
    </x:row>
    <x:row r="47">
      <x:c r="A47" s="15" t="str">
        <x:v>MPV010</x:v>
      </x:c>
      <x:c r="B47" s="27" t="n">
        <x:v>46257.322916666664</x:v>
      </x:c>
      <x:c r="C47" s="27" t="n">
        <x:v>10</x:v>
      </x:c>
      <x:c r="D47" s="27"/>
      <x:c r="E47" s="27"/>
      <x:c r="F47" t="str">
        <x:v>Chưa khớp</x:v>
      </x:c>
      <x:c r="G47" s="15" t="str">
        <x:v>DA006</x:v>
      </x:c>
      <x:c r="H47" s="15" t="str">
        <x:v>NV004</x:v>
      </x:c>
    </x:row>
    <x:row r="48">
      <x:c r="A48" s="15" t="str">
        <x:v>MPV011</x:v>
      </x:c>
      <x:c r="B48" s="27" t="n">
        <x:v>46257.5</x:v>
      </x:c>
      <x:c r="C48" s="27" t="n">
        <x:v>11</x:v>
      </x:c>
      <x:c r="D48" s="27"/>
      <x:c r="E48" s="27"/>
      <x:c r="F48" t="str">
        <x:v>Chưa khớp</x:v>
      </x:c>
      <x:c r="G48" s="15" t="str">
        <x:v>DA006</x:v>
      </x:c>
      <x:c r="H48" s="15" t="str">
        <x:v>NV005</x:v>
      </x:c>
    </x:row>
    <x:row r="49">
      <x:c r="A49" s="15" t="str">
        <x:v>MPV012</x:v>
      </x:c>
      <x:c r="B49" s="27" t="n">
        <x:v>46257.739583333336</x:v>
      </x:c>
      <x:c r="C49" s="27" t="n">
        <x:v>12</x:v>
      </x:c>
      <x:c r="D49" s="27"/>
      <x:c r="E49" s="27"/>
      <x:c r="F49" t="str">
        <x:v>Chưa khớp</x:v>
      </x:c>
      <x:c r="G49" s="15" t="str">
        <x:v>DA006</x:v>
      </x:c>
      <x:c r="H49" s="15" t="str">
        <x:v>NV006</x:v>
      </x:c>
    </x:row>
    <x:row r="50">
      <x:c r="A50" s="15"/>
      <x:c r="B50" s="27"/>
      <x:c r="D50" s="27"/>
      <x:c r="E50" s="27"/>
    </x:row>
    <x:row r="51">
      <x:c r="A51" s="15"/>
      <x:c r="B51" s="27"/>
      <x:c r="D51" s="27"/>
      <x:c r="E51" s="27"/>
    </x:row>
    <x:row r="52">
      <x:c r="A52" s="15"/>
      <x:c r="B52" s="27"/>
      <x:c r="D52" s="27"/>
      <x:c r="E52" s="27"/>
    </x:row>
    <x:row r="53">
      <x:c r="A53" s="15"/>
      <x:c r="B53" s="27"/>
      <x:c r="D53" s="27"/>
      <x:c r="E53" s="27"/>
    </x:row>
    <x:row r="54">
      <x:c r="A54" s="15"/>
      <x:c r="B54" s="27"/>
      <x:c r="D54" s="27"/>
      <x:c r="E54" s="27"/>
    </x:row>
    <x:row r="55">
      <x:c r="A55" s="15"/>
      <x:c r="B55" s="27"/>
      <x:c r="D55" s="27"/>
      <x:c r="E55" s="27"/>
    </x:row>
    <x:row r="56">
      <x:c r="A56" s="15"/>
      <x:c r="B56" s="27"/>
      <x:c r="D56" s="27"/>
      <x:c r="E56" s="27"/>
    </x:row>
    <x:row r="57">
      <x:c r="A57" s="15"/>
      <x:c r="B57" s="27"/>
      <x:c r="D57" s="27"/>
      <x:c r="E57" s="27"/>
    </x:row>
    <x:row r="58">
      <x:c r="A58" s="15"/>
      <x:c r="B58" s="27"/>
      <x:c r="D58" s="27"/>
      <x:c r="E58" s="27"/>
    </x:row>
    <x:row r="59">
      <x:c r="A59" s="15"/>
      <x:c r="B59" s="27"/>
      <x:c r="D59" s="27"/>
      <x:c r="E59" s="27"/>
    </x:row>
    <x:row r="60">
      <x:c r="A60" s="15"/>
      <x:c r="B60" s="27"/>
      <x:c r="D60" s="27"/>
      <x:c r="E60" s="27"/>
    </x:row>
    <x:row r="61">
      <x:c r="A61" s="15"/>
      <x:c r="B61" s="27"/>
      <x:c r="D61" s="27"/>
      <x:c r="E61" s="27"/>
    </x:row>
    <x:row r="62">
      <x:c r="A62" s="15"/>
      <x:c r="B62" s="27"/>
      <x:c r="D62" s="27"/>
      <x:c r="E62" s="27"/>
    </x:row>
    <x:row r="63">
      <x:c r="A63" s="15"/>
      <x:c r="B63" s="27"/>
      <x:c r="D63" s="27"/>
      <x:c r="E63" s="27"/>
    </x:row>
    <x:row r="64">
      <x:c r="A64" s="15"/>
      <x:c r="B64" s="27"/>
      <x:c r="D64" s="27"/>
      <x:c r="E64" s="27"/>
    </x:row>
    <x:row r="65">
      <x:c r="A65" s="15"/>
      <x:c r="B65" s="27"/>
      <x:c r="D65" s="27"/>
      <x:c r="E65" s="27"/>
    </x:row>
    <x:row r="66">
      <x:c r="A66" s="15"/>
      <x:c r="B66" s="27"/>
      <x:c r="D66" s="27"/>
      <x:c r="E66" s="27"/>
    </x:row>
    <x:row r="67">
      <x:c r="A67" s="15"/>
      <x:c r="B67" s="27"/>
      <x:c r="D67" s="27"/>
      <x:c r="E67" s="27"/>
    </x:row>
    <x:row r="68">
      <x:c r="A68" s="15"/>
      <x:c r="B68" s="27"/>
      <x:c r="D68" s="27"/>
      <x:c r="E68" s="27"/>
    </x:row>
    <x:row r="69">
      <x:c r="A69" s="15"/>
      <x:c r="B69" s="27"/>
      <x:c r="D69" s="27"/>
      <x:c r="E69" s="27"/>
    </x:row>
    <x:row r="70">
      <x:c r="A70" s="15"/>
      <x:c r="B70" s="27"/>
      <x:c r="D70" s="27"/>
      <x:c r="E70" s="27"/>
    </x:row>
    <x:row r="71">
      <x:c r="A71" s="15"/>
      <x:c r="B71" s="27"/>
      <x:c r="D71" s="27"/>
      <x:c r="E71" s="27"/>
    </x:row>
    <x:row r="72">
      <x:c r="A72" s="15"/>
      <x:c r="B72" s="27"/>
      <x:c r="D72" s="27"/>
      <x:c r="E72" s="27"/>
    </x:row>
    <x:row r="73">
      <x:c r="A73" s="15"/>
      <x:c r="B73" s="27"/>
      <x:c r="D73" s="27"/>
      <x:c r="E73" s="27"/>
    </x:row>
    <x:row r="74">
      <x:c r="A74" s="15"/>
      <x:c r="B74" s="27"/>
      <x:c r="D74" s="27"/>
      <x:c r="E74" s="27"/>
    </x:row>
    <x:row r="75">
      <x:c r="A75" s="15"/>
      <x:c r="B75" s="27"/>
      <x:c r="D75" s="27"/>
      <x:c r="E75" s="27"/>
    </x:row>
    <x:row r="76">
      <x:c r="A76" s="15"/>
      <x:c r="B76" s="27"/>
      <x:c r="D76" s="27"/>
      <x:c r="E76" s="27"/>
    </x:row>
    <x:row r="77">
      <x:c r="A77" s="15"/>
      <x:c r="B77" s="27"/>
      <x:c r="D77" s="27"/>
      <x:c r="E77" s="27"/>
    </x:row>
    <x:row r="78">
      <x:c r="A78" s="15"/>
      <x:c r="B78" s="27"/>
      <x:c r="D78" s="27"/>
      <x:c r="E78" s="27"/>
    </x:row>
    <x:row r="79">
      <x:c r="A79" s="15"/>
      <x:c r="B79" s="27"/>
      <x:c r="D79" s="27"/>
      <x:c r="E79" s="27"/>
    </x:row>
    <x:row r="80">
      <x:c r="A80" s="15"/>
      <x:c r="B80" s="27"/>
      <x:c r="D80" s="27"/>
      <x:c r="E80" s="27"/>
    </x:row>
    <x:row r="81">
      <x:c r="A81" s="15"/>
      <x:c r="B81" s="27"/>
      <x:c r="D81" s="27"/>
      <x:c r="E81" s="27"/>
    </x:row>
    <x:row r="82">
      <x:c r="A82" s="15"/>
      <x:c r="B82" s="27"/>
      <x:c r="D82" s="27"/>
      <x:c r="E82" s="27"/>
    </x:row>
    <x:row r="83">
      <x:c r="A83" s="15"/>
      <x:c r="B83" s="27"/>
      <x:c r="D83" s="27"/>
      <x:c r="E83" s="27"/>
    </x:row>
    <x:row r="84">
      <x:c r="A84" s="15"/>
      <x:c r="B84" s="27"/>
      <x:c r="D84" s="27"/>
      <x:c r="E84" s="27"/>
    </x:row>
    <x:row r="85">
      <x:c r="A85" s="15"/>
      <x:c r="B85" s="27"/>
      <x:c r="D85" s="27"/>
      <x:c r="E85" s="27"/>
    </x:row>
    <x:row r="86">
      <x:c r="A86" s="15"/>
      <x:c r="B86" s="27"/>
      <x:c r="D86" s="27"/>
      <x:c r="E86" s="27"/>
    </x:row>
    <x:row r="87">
      <x:c r="A87" s="15"/>
      <x:c r="B87" s="27"/>
      <x:c r="D87" s="27"/>
      <x:c r="E87" s="27"/>
    </x:row>
    <x:row r="88">
      <x:c r="A88" s="15"/>
      <x:c r="B88" s="27"/>
      <x:c r="D88" s="27"/>
      <x:c r="E88" s="27"/>
    </x:row>
    <x:row r="89">
      <x:c r="A89" s="15"/>
      <x:c r="B89" s="27"/>
      <x:c r="D89" s="27"/>
      <x:c r="E89" s="27"/>
    </x:row>
    <x:row r="90">
      <x:c r="A90" s="15"/>
      <x:c r="B90" s="27"/>
      <x:c r="D90" s="27"/>
      <x:c r="E90" s="27"/>
    </x:row>
    <x:row r="91">
      <x:c r="A91" s="15"/>
      <x:c r="B91" s="27"/>
      <x:c r="D91" s="27"/>
      <x:c r="E91" s="27"/>
    </x:row>
    <x:row r="92">
      <x:c r="A92" s="15"/>
      <x:c r="B92" s="27"/>
      <x:c r="D92" s="27"/>
      <x:c r="E92" s="27"/>
    </x:row>
    <x:row r="93">
      <x:c r="A93" s="15"/>
      <x:c r="B93" s="27"/>
      <x:c r="D93" s="27"/>
      <x:c r="E93" s="27"/>
    </x:row>
    <x:row r="94">
      <x:c r="A94" s="15"/>
      <x:c r="B94" s="27"/>
      <x:c r="D94" s="27"/>
      <x:c r="E94" s="27"/>
    </x:row>
    <x:row r="95">
      <x:c r="A95" s="15"/>
      <x:c r="B95" s="27"/>
      <x:c r="D95" s="27"/>
      <x:c r="E95" s="27"/>
    </x:row>
    <x:row r="96">
      <x:c r="A96" s="15"/>
      <x:c r="B96" s="27"/>
      <x:c r="D96" s="27"/>
      <x:c r="E96" s="27"/>
    </x:row>
    <x:row r="97">
      <x:c r="A97" s="15"/>
      <x:c r="B97" s="27"/>
      <x:c r="D97" s="27"/>
      <x:c r="E97" s="27"/>
    </x:row>
    <x:row r="98">
      <x:c r="A98" s="15"/>
      <x:c r="B98" s="27"/>
      <x:c r="D98" s="27"/>
      <x:c r="E98" s="27"/>
    </x:row>
    <x:row r="99">
      <x:c r="A99" s="15"/>
      <x:c r="B99" s="27"/>
      <x:c r="D99" s="27"/>
      <x:c r="E99" s="27"/>
    </x:row>
    <x:row r="100">
      <x:c r="A100" s="15"/>
      <x:c r="B100" s="27"/>
      <x:c r="D100" s="27"/>
      <x:c r="E100" s="27"/>
    </x:row>
  </x:sheetData>
  <x:pageMargins left="0.7" right="0.7" top="0.75" bottom="0.75" header="0.3" footer="0.3"/>
  <x:tableParts count="1">
    <x:tablePart xmlns:r="http://schemas.openxmlformats.org/officeDocument/2006/relationships" r:id="Raf3b0f37e3414fc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1" hidden="0" customWidth="1"/>
    <x:col min="3" max="3" width="21" hidden="0" customWidth="1"/>
    <x:col min="4" max="4" width="18" hidden="0" customWidth="1"/>
    <x:col min="5" max="5" width="20" hidden="0" customWidth="1"/>
    <x:col min="6" max="6" width="21" hidden="0" customWidth="1"/>
    <x:col min="7" max="7" width="44" hidden="0" customWidth="1"/>
    <x:col min="8" max="8" width="18" hidden="0" customWidth="1"/>
    <x:col min="9" max="9" width="10" hidden="0" customWidth="1"/>
  </x:cols>
  <x:sheetData>
    <x:row r="1" ht="32" hidden="0" customHeight="1">
      <x:c r="A1" s="6" t="str">
        <x:v>MaLock</x:v>
      </x:c>
      <x:c r="B1" s="6" t="str">
        <x:v>ThoiGianBatDau</x:v>
      </x:c>
      <x:c r="C1" s="6" t="str">
        <x:v>ThoiGianKetThuc</x:v>
      </x:c>
      <x:c r="D1" s="6" t="str">
        <x:v>SoTienCoc</x:v>
      </x:c>
      <x:c r="E1" s="6" t="str">
        <x:v>TrangThaiGiaoDich</x:v>
      </x:c>
      <x:c r="F1" s="6" t="str">
        <x:v>ThoiGianLock</x:v>
      </x:c>
      <x:c r="G1" s="6" t="str">
        <x:v>GhiChu</x:v>
      </x:c>
      <x:c r="H1" s="6" t="str">
        <x:v>MaCan</x:v>
      </x:c>
      <x:c r="I1" s="6" t="str">
        <x:v>MaNV</x:v>
      </x:c>
    </x:row>
    <x:row r="2" ht="15" hidden="0" customHeight="1">
      <x:c r="A2" s="14" t="str">
        <x:v>LL001</x:v>
      </x:c>
      <x:c r="B2" s="100" t="n">
        <x:v>46174.375</x:v>
      </x:c>
      <x:c r="C2" s="100" t="n">
        <x:v>46174.395833333336</x:v>
      </x:c>
      <x:c r="D2" s="102" t="n">
        <x:v>100000000</x:v>
      </x:c>
      <x:c r="E2" s="12" t="str">
        <x:v>Cọc thành công</x:v>
      </x:c>
      <x:c r="F2" s="100" t="n">
        <x:v>46174.3875</x:v>
      </x:c>
      <x:c r="G2" s="12" t="str">
        <x:v>Dữ liệu mô phỏng phục vụ thực hành SQL</x:v>
      </x:c>
      <x:c r="H2" s="14" t="str">
        <x:v>V1.0515</x:v>
      </x:c>
      <x:c r="I2" s="14" t="str">
        <x:v>NV001</x:v>
      </x:c>
    </x:row>
    <x:row r="3" ht="15" hidden="0" customHeight="1">
      <x:c r="A3" s="14" t="str">
        <x:v>LL002</x:v>
      </x:c>
      <x:c r="B3" s="100" t="n">
        <x:v>46176.416666666664</x:v>
      </x:c>
      <x:c r="C3" s="100" t="n">
        <x:v>46176.4375</x:v>
      </x:c>
      <x:c r="D3" s="102" t="n">
        <x:v>100000000</x:v>
      </x:c>
      <x:c r="E3" s="12" t="str">
        <x:v>Cọc thành công</x:v>
      </x:c>
      <x:c r="F3" s="100" t="n">
        <x:v>46176.42916666667</x:v>
      </x:c>
      <x:c r="G3" s="12" t="str">
        <x:v>Dữ liệu mô phỏng phục vụ thực hành SQL</x:v>
      </x:c>
      <x:c r="H3" s="14" t="str">
        <x:v>V1.0620</x:v>
      </x:c>
      <x:c r="I3" s="14" t="str">
        <x:v>NV002</x:v>
      </x:c>
    </x:row>
    <x:row r="4" ht="15" hidden="0" customHeight="1">
      <x:c r="A4" s="14" t="str">
        <x:v>LL003</x:v>
      </x:c>
      <x:c r="B4" s="100" t="n">
        <x:v>46178.458333333336</x:v>
      </x:c>
      <x:c r="C4" s="100" t="n">
        <x:v>46178.479166666664</x:v>
      </x:c>
      <x:c r="D4" s="102" t="n">
        <x:v>100000000</x:v>
      </x:c>
      <x:c r="E4" s="12" t="str">
        <x:v>Cọc thành công</x:v>
      </x:c>
      <x:c r="F4" s="100" t="n">
        <x:v>46178.47083333333</x:v>
      </x:c>
      <x:c r="G4" s="12" t="str">
        <x:v>Dữ liệu mô phỏng phục vụ thực hành SQL</x:v>
      </x:c>
      <x:c r="H4" s="14" t="str">
        <x:v>V1.1401</x:v>
      </x:c>
      <x:c r="I4" s="14" t="str">
        <x:v>NV003</x:v>
      </x:c>
    </x:row>
    <x:row r="5" ht="15" hidden="0" customHeight="1">
      <x:c r="A5" s="14" t="str">
        <x:v>LL004</x:v>
      </x:c>
      <x:c r="B5" s="100" t="n">
        <x:v>46180.5</x:v>
      </x:c>
      <x:c r="C5" s="100" t="n">
        <x:v>46180.520833333336</x:v>
      </x:c>
      <x:c r="D5" s="102" t="n">
        <x:v>100000000</x:v>
      </x:c>
      <x:c r="E5" s="12" t="str">
        <x:v>Cọc thành công</x:v>
      </x:c>
      <x:c r="F5" s="100" t="n">
        <x:v>46180.5125</x:v>
      </x:c>
      <x:c r="G5" s="12" t="str">
        <x:v>Dữ liệu mô phỏng phục vụ thực hành SQL</x:v>
      </x:c>
      <x:c r="H5" s="14" t="str">
        <x:v>V1.1420</x:v>
      </x:c>
      <x:c r="I5" s="14" t="str">
        <x:v>NV004</x:v>
      </x:c>
    </x:row>
    <x:row r="6" ht="15" hidden="0" customHeight="1">
      <x:c r="A6" s="14" t="str">
        <x:v>LL005</x:v>
      </x:c>
      <x:c r="B6" s="100" t="n">
        <x:v>46182.541666666664</x:v>
      </x:c>
      <x:c r="C6" s="100" t="n">
        <x:v>46182.5625</x:v>
      </x:c>
      <x:c r="D6" s="102" t="n">
        <x:v>100000000</x:v>
      </x:c>
      <x:c r="E6" s="12" t="str">
        <x:v>Cọc thành công</x:v>
      </x:c>
      <x:c r="F6" s="100" t="n">
        <x:v>46182.55416666667</x:v>
      </x:c>
      <x:c r="G6" s="12" t="str">
        <x:v>Dữ liệu mô phỏng phục vụ thực hành SQL</x:v>
      </x:c>
      <x:c r="H6" s="14" t="str">
        <x:v>V1.1701</x:v>
      </x:c>
      <x:c r="I6" s="14" t="str">
        <x:v>NV005</x:v>
      </x:c>
    </x:row>
    <x:row r="7" ht="15" hidden="0" customHeight="1">
      <x:c r="A7" s="14" t="str">
        <x:v>LL006</x:v>
      </x:c>
      <x:c r="B7" s="100" t="n">
        <x:v>46184.375</x:v>
      </x:c>
      <x:c r="C7" s="100" t="n">
        <x:v>46184.395833333336</x:v>
      </x:c>
      <x:c r="D7" s="102" t="n">
        <x:v>100000000</x:v>
      </x:c>
      <x:c r="E7" s="12" t="str">
        <x:v>Cọc thành công</x:v>
      </x:c>
      <x:c r="F7" s="100" t="n">
        <x:v>46184.3875</x:v>
      </x:c>
      <x:c r="G7" s="12" t="str">
        <x:v>Dữ liệu mô phỏng phục vụ thực hành SQL</x:v>
      </x:c>
      <x:c r="H7" s="14" t="str">
        <x:v>V1.2512</x:v>
      </x:c>
      <x:c r="I7" s="14" t="str">
        <x:v>NV006</x:v>
      </x:c>
    </x:row>
    <x:row r="8" ht="15" hidden="0" customHeight="1">
      <x:c r="A8" s="14" t="str">
        <x:v>LL007</x:v>
      </x:c>
      <x:c r="B8" s="100" t="n">
        <x:v>46186.416666666664</x:v>
      </x:c>
      <x:c r="C8" s="100" t="n">
        <x:v>46186.4375</x:v>
      </x:c>
      <x:c r="D8" s="102" t="n">
        <x:v>100000000</x:v>
      </x:c>
      <x:c r="E8" s="12" t="str">
        <x:v>Cọc thành công</x:v>
      </x:c>
      <x:c r="F8" s="100" t="n">
        <x:v>46186.42916666667</x:v>
      </x:c>
      <x:c r="G8" s="12" t="str">
        <x:v>Dữ liệu mô phỏng phục vụ thực hành SQL</x:v>
      </x:c>
      <x:c r="H8" s="14" t="str">
        <x:v>V2.0610</x:v>
      </x:c>
      <x:c r="I8" s="14" t="str">
        <x:v>NV001</x:v>
      </x:c>
    </x:row>
    <x:row r="9" ht="15" hidden="0" customHeight="1">
      <x:c r="A9" s="14" t="str">
        <x:v>LL008</x:v>
      </x:c>
      <x:c r="B9" s="100" t="n">
        <x:v>46188.458333333336</x:v>
      </x:c>
      <x:c r="C9" s="100" t="n">
        <x:v>46188.479166666664</x:v>
      </x:c>
      <x:c r="D9" s="102" t="n">
        <x:v>100000000</x:v>
      </x:c>
      <x:c r="E9" s="12" t="str">
        <x:v>Cọc thành công</x:v>
      </x:c>
      <x:c r="F9" s="100" t="n">
        <x:v>46188.47083333333</x:v>
      </x:c>
      <x:c r="G9" s="12" t="str">
        <x:v>Dữ liệu mô phỏng phục vụ thực hành SQL</x:v>
      </x:c>
      <x:c r="H9" s="14" t="str">
        <x:v>V2.0708</x:v>
      </x:c>
      <x:c r="I9" s="14" t="str">
        <x:v>NV002</x:v>
      </x:c>
    </x:row>
    <x:row r="10" ht="15" hidden="0" customHeight="1">
      <x:c r="A10" s="14" t="str">
        <x:v>LL009</x:v>
      </x:c>
      <x:c r="B10" s="100" t="n">
        <x:v>46190.5</x:v>
      </x:c>
      <x:c r="C10" s="100" t="n">
        <x:v>46190.520833333336</x:v>
      </x:c>
      <x:c r="D10" s="102" t="n">
        <x:v>500000000</x:v>
      </x:c>
      <x:c r="E10" s="12" t="str">
        <x:v>Cọc thành công</x:v>
      </x:c>
      <x:c r="F10" s="100" t="n">
        <x:v>46190.5125</x:v>
      </x:c>
      <x:c r="G10" s="12" t="str">
        <x:v>Dữ liệu mô phỏng phục vụ thực hành SQL</x:v>
      </x:c>
      <x:c r="H10" s="14" t="str">
        <x:v>TT4-18</x:v>
      </x:c>
      <x:c r="I10" s="14" t="str">
        <x:v>NV003</x:v>
      </x:c>
    </x:row>
    <x:row r="11" ht="15" hidden="0" customHeight="1">
      <x:c r="A11" s="14" t="str">
        <x:v>LL010</x:v>
      </x:c>
      <x:c r="B11" s="100" t="n">
        <x:v>46192.541666666664</x:v>
      </x:c>
      <x:c r="C11" s="100" t="n">
        <x:v>46192.5625</x:v>
      </x:c>
      <x:c r="D11" s="102" t="n">
        <x:v>500000000</x:v>
      </x:c>
      <x:c r="E11" s="12" t="str">
        <x:v>Cọc thành công</x:v>
      </x:c>
      <x:c r="F11" s="100" t="n">
        <x:v>46192.55416666667</x:v>
      </x:c>
      <x:c r="G11" s="12" t="str">
        <x:v>Dữ liệu mô phỏng phục vụ thực hành SQL</x:v>
      </x:c>
      <x:c r="H11" s="14" t="str">
        <x:v>TT4-19</x:v>
      </x:c>
      <x:c r="I11" s="14" t="str">
        <x:v>NV004</x:v>
      </x:c>
    </x:row>
    <x:row r="12" ht="15" hidden="0" customHeight="1">
      <x:c r="A12" s="14" t="str">
        <x:v>LL011</x:v>
      </x:c>
      <x:c r="B12" s="100" t="n">
        <x:v>46194.375</x:v>
      </x:c>
      <x:c r="C12" s="100" t="n">
        <x:v>46194.395833333336</x:v>
      </x:c>
      <x:c r="D12" s="102" t="n">
        <x:v>500000000</x:v>
      </x:c>
      <x:c r="E12" s="12" t="str">
        <x:v>Cọc thành công</x:v>
      </x:c>
      <x:c r="F12" s="100" t="n">
        <x:v>46194.3875</x:v>
      </x:c>
      <x:c r="G12" s="12" t="str">
        <x:v>Dữ liệu mô phỏng phục vụ thực hành SQL</x:v>
      </x:c>
      <x:c r="H12" s="14" t="str">
        <x:v>TT4-20</x:v>
      </x:c>
      <x:c r="I12" s="14" t="str">
        <x:v>NV005</x:v>
      </x:c>
    </x:row>
    <x:row r="13" ht="15" hidden="0" customHeight="1">
      <x:c r="A13" s="14" t="str">
        <x:v>LL012</x:v>
      </x:c>
      <x:c r="B13" s="100" t="n">
        <x:v>46196.416666666664</x:v>
      </x:c>
      <x:c r="C13" s="100" t="n">
        <x:v>46196.4375</x:v>
      </x:c>
      <x:c r="D13" s="102" t="n">
        <x:v>500000000</x:v>
      </x:c>
      <x:c r="E13" s="12" t="str">
        <x:v>Cọc thành công</x:v>
      </x:c>
      <x:c r="F13" s="100" t="n">
        <x:v>46196.42916666667</x:v>
      </x:c>
      <x:c r="G13" s="12" t="str">
        <x:v>Dữ liệu mô phỏng phục vụ thực hành SQL</x:v>
      </x:c>
      <x:c r="H13" s="14" t="str">
        <x:v>TT4-21</x:v>
      </x:c>
      <x:c r="I13" s="14" t="str">
        <x:v>NV006</x:v>
      </x:c>
    </x:row>
    <x:row r="14" ht="15" hidden="0" customHeight="1">
      <x:c r="A14" s="14" t="str">
        <x:v>LL013</x:v>
      </x:c>
      <x:c r="B14" s="100" t="n">
        <x:v>46198.458333333336</x:v>
      </x:c>
      <x:c r="C14" s="100" t="n">
        <x:v>46198.479166666664</x:v>
      </x:c>
      <x:c r="D14" s="102" t="n">
        <x:v>500000000</x:v>
      </x:c>
      <x:c r="E14" s="12" t="str">
        <x:v>Cọc thành công</x:v>
      </x:c>
      <x:c r="F14" s="100" t="n">
        <x:v>46198.47083333333</x:v>
      </x:c>
      <x:c r="G14" s="12" t="str">
        <x:v>Dữ liệu mô phỏng phục vụ thực hành SQL</x:v>
      </x:c>
      <x:c r="H14" s="14" t="str">
        <x:v>TT5-8</x:v>
      </x:c>
      <x:c r="I14" s="14" t="str">
        <x:v>NV001</x:v>
      </x:c>
    </x:row>
    <x:row r="15" ht="15" hidden="0" customHeight="1">
      <x:c r="A15" s="14" t="str">
        <x:v>LL014</x:v>
      </x:c>
      <x:c r="B15" s="100" t="n">
        <x:v>46200.5</x:v>
      </x:c>
      <x:c r="C15" s="100" t="n">
        <x:v>46200.520833333336</x:v>
      </x:c>
      <x:c r="D15" s="102" t="n">
        <x:v>500000000</x:v>
      </x:c>
      <x:c r="E15" s="12" t="str">
        <x:v>Cọc thành công</x:v>
      </x:c>
      <x:c r="F15" s="100" t="n">
        <x:v>46200.5125</x:v>
      </x:c>
      <x:c r="G15" s="12" t="str">
        <x:v>Dữ liệu mô phỏng phục vụ thực hành SQL</x:v>
      </x:c>
      <x:c r="H15" s="14" t="str">
        <x:v>TT5-9</x:v>
      </x:c>
      <x:c r="I15" s="14" t="str">
        <x:v>NV002</x:v>
      </x:c>
    </x:row>
    <x:row r="16" ht="15" hidden="0" customHeight="1">
      <x:c r="A16" s="14" t="str">
        <x:v>LL015</x:v>
      </x:c>
      <x:c r="B16" s="100" t="n">
        <x:v>46202.541666666664</x:v>
      </x:c>
      <x:c r="C16" s="100" t="n">
        <x:v>46202.5625</x:v>
      </x:c>
      <x:c r="D16" s="102" t="n">
        <x:v>100000000</x:v>
      </x:c>
      <x:c r="E16" s="12" t="str">
        <x:v>Cọc thành công</x:v>
      </x:c>
      <x:c r="F16" s="100" t="n">
        <x:v>46202.55416666667</x:v>
      </x:c>
      <x:c r="G16" s="12" t="str">
        <x:v>Dữ liệu mô phỏng phục vụ thực hành SQL</x:v>
      </x:c>
      <x:c r="H16" s="14" t="str">
        <x:v>HH-B-17-18</x:v>
      </x:c>
      <x:c r="I16" s="14" t="str">
        <x:v>NV003</x:v>
      </x:c>
    </x:row>
    <x:row r="17" ht="15" hidden="0" customHeight="1">
      <x:c r="A17" s="14" t="str">
        <x:v>LL016</x:v>
      </x:c>
      <x:c r="B17" s="100" t="n">
        <x:v>46204.375</x:v>
      </x:c>
      <x:c r="C17" s="100" t="n">
        <x:v>46204.395833333336</x:v>
      </x:c>
      <x:c r="D17" s="102" t="n">
        <x:v>100000000</x:v>
      </x:c>
      <x:c r="E17" s="12" t="str">
        <x:v>Cọc thành công</x:v>
      </x:c>
      <x:c r="F17" s="100" t="n">
        <x:v>46204.3875</x:v>
      </x:c>
      <x:c r="G17" s="12" t="str">
        <x:v>Dữ liệu mô phỏng phục vụ thực hành SQL</x:v>
      </x:c>
      <x:c r="H17" s="14" t="str">
        <x:v>C5L1-08-05A</x:v>
      </x:c>
      <x:c r="I17" s="14" t="str">
        <x:v>NV004</x:v>
      </x:c>
    </x:row>
    <x:row r="18" ht="15" hidden="0" customHeight="1">
      <x:c r="A18" s="14" t="str">
        <x:v>LL017</x:v>
      </x:c>
      <x:c r="B18" s="100" t="n">
        <x:v>46206.416666666664</x:v>
      </x:c>
      <x:c r="C18" s="100" t="n">
        <x:v>46206.4375</x:v>
      </x:c>
      <x:c r="D18" s="102" t="n">
        <x:v>100000000</x:v>
      </x:c>
      <x:c r="E18" s="12" t="str">
        <x:v>Cọc thành công</x:v>
      </x:c>
      <x:c r="F18" s="100" t="n">
        <x:v>46206.42916666667</x:v>
      </x:c>
      <x:c r="G18" s="12" t="str">
        <x:v>Dữ liệu mô phỏng phục vụ thực hành SQL</x:v>
      </x:c>
      <x:c r="H18" s="14" t="str">
        <x:v>C5L1-08-12A</x:v>
      </x:c>
      <x:c r="I18" s="14" t="str">
        <x:v>NV005</x:v>
      </x:c>
    </x:row>
    <x:row r="19" ht="15" hidden="0" customHeight="1">
      <x:c r="A19" s="14" t="str">
        <x:v>LL018</x:v>
      </x:c>
      <x:c r="B19" s="100" t="n">
        <x:v>46208.458333333336</x:v>
      </x:c>
      <x:c r="C19" s="100" t="n">
        <x:v>46208.479166666664</x:v>
      </x:c>
      <x:c r="D19" s="102" t="n">
        <x:v>100000000</x:v>
      </x:c>
      <x:c r="E19" s="12" t="str">
        <x:v>Cọc thành công</x:v>
      </x:c>
      <x:c r="F19" s="100" t="n">
        <x:v>46208.47083333333</x:v>
      </x:c>
      <x:c r="G19" s="12" t="str">
        <x:v>Dữ liệu mô phỏng phục vụ thực hành SQL</x:v>
      </x:c>
      <x:c r="H19" s="14" t="str">
        <x:v>C5Z1-05-12A</x:v>
      </x:c>
      <x:c r="I19" s="14" t="str">
        <x:v>NV006</x:v>
      </x:c>
    </x:row>
    <x:row r="20" ht="15" hidden="0" customHeight="1">
      <x:c r="A20" s="14" t="str">
        <x:v>LL019</x:v>
      </x:c>
      <x:c r="B20" s="100" t="n">
        <x:v>46210.5</x:v>
      </x:c>
      <x:c r="C20" s="100" t="n">
        <x:v>46210.520833333336</x:v>
      </x:c>
      <x:c r="D20" s="102" t="n">
        <x:v>100000000</x:v>
      </x:c>
      <x:c r="E20" s="12" t="str">
        <x:v>Cọc thành công</x:v>
      </x:c>
      <x:c r="F20" s="100" t="n">
        <x:v>46210.5125</x:v>
      </x:c>
      <x:c r="G20" s="12" t="str">
        <x:v>Dữ liệu mô phỏng phục vụ thực hành SQL</x:v>
      </x:c>
      <x:c r="H20" s="14" t="str">
        <x:v>C5Z1-05-18</x:v>
      </x:c>
      <x:c r="I20" s="14" t="str">
        <x:v>NV001</x:v>
      </x:c>
    </x:row>
    <x:row r="21" ht="15" hidden="0" customHeight="1">
      <x:c r="A21" s="14" t="str">
        <x:v>LL020</x:v>
      </x:c>
      <x:c r="B21" s="100" t="n">
        <x:v>46212.541666666664</x:v>
      </x:c>
      <x:c r="C21" s="100" t="n">
        <x:v>46212.5625</x:v>
      </x:c>
      <x:c r="D21" s="102" t="n">
        <x:v>100000000</x:v>
      </x:c>
      <x:c r="E21" s="12" t="str">
        <x:v>Cọc thành công</x:v>
      </x:c>
      <x:c r="F21" s="100" t="n">
        <x:v>46212.55416666667</x:v>
      </x:c>
      <x:c r="G21" s="12" t="str">
        <x:v>Dữ liệu mô phỏng phục vụ thực hành SQL</x:v>
      </x:c>
      <x:c r="H21" s="14" t="str">
        <x:v>C5Z3-08-05A</x:v>
      </x:c>
      <x:c r="I21" s="14" t="str">
        <x:v>NV002</x:v>
      </x:c>
    </x:row>
    <x:row r="22" ht="15" hidden="0" customHeight="1">
      <x:c r="A22" s="14" t="str">
        <x:v>LL021</x:v>
      </x:c>
      <x:c r="B22" s="100" t="n">
        <x:v>46214.375</x:v>
      </x:c>
      <x:c r="C22" s="100" t="n">
        <x:v>46214.395833333336</x:v>
      </x:c>
      <x:c r="D22" s="102" t="n">
        <x:v>100000000</x:v>
      </x:c>
      <x:c r="E22" s="12" t="str">
        <x:v>Cọc thành công</x:v>
      </x:c>
      <x:c r="F22" s="100" t="n">
        <x:v>46214.3875</x:v>
      </x:c>
      <x:c r="G22" s="12" t="str">
        <x:v>Dữ liệu mô phỏng phục vụ thực hành SQL</x:v>
      </x:c>
      <x:c r="H22" s="14" t="str">
        <x:v>C5Z3-08-15A</x:v>
      </x:c>
      <x:c r="I22" s="14" t="str">
        <x:v>NV003</x:v>
      </x:c>
    </x:row>
    <x:row r="23" ht="15" hidden="0" customHeight="1">
      <x:c r="A23" s="14" t="str">
        <x:v>LL022</x:v>
      </x:c>
      <x:c r="B23" s="100" t="n">
        <x:v>46216.416666666664</x:v>
      </x:c>
      <x:c r="C23" s="100" t="n">
        <x:v>46216.4375</x:v>
      </x:c>
      <x:c r="D23" s="102" t="n">
        <x:v>100000000</x:v>
      </x:c>
      <x:c r="E23" s="12" t="str">
        <x:v>Cọc thành công</x:v>
      </x:c>
      <x:c r="F23" s="100" t="n">
        <x:v>46216.42916666667</x:v>
      </x:c>
      <x:c r="G23" s="12" t="str">
        <x:v>Dữ liệu mô phỏng phục vụ thực hành SQL</x:v>
      </x:c>
      <x:c r="H23" s="14" t="str">
        <x:v>C5Z3-08-03</x:v>
      </x:c>
      <x:c r="I23" s="14" t="str">
        <x:v>NV004</x:v>
      </x:c>
    </x:row>
    <x:row r="24" ht="15" hidden="0" customHeight="1">
      <x:c r="A24" s="14" t="str">
        <x:v>LL023</x:v>
      </x:c>
      <x:c r="B24" s="100" t="n">
        <x:v>46218.458333333336</x:v>
      </x:c>
      <x:c r="C24" s="100" t="n">
        <x:v>46218.479166666664</x:v>
      </x:c>
      <x:c r="D24" s="102" t="n">
        <x:v>100000000</x:v>
      </x:c>
      <x:c r="E24" s="12" t="str">
        <x:v>Cọc thành công</x:v>
      </x:c>
      <x:c r="F24" s="100" t="n">
        <x:v>46218.47083333333</x:v>
      </x:c>
      <x:c r="G24" s="12" t="str">
        <x:v>Dữ liệu mô phỏng phục vụ thực hành SQL</x:v>
      </x:c>
      <x:c r="H24" s="14" t="str">
        <x:v>C5Z3-08-12A</x:v>
      </x:c>
      <x:c r="I24" s="14" t="str">
        <x:v>NV005</x:v>
      </x:c>
    </x:row>
    <x:row r="25" ht="15" hidden="0" customHeight="1">
      <x:c r="A25" s="14" t="str">
        <x:v>LL024</x:v>
      </x:c>
      <x:c r="B25" s="100" t="n">
        <x:v>46220.5</x:v>
      </x:c>
      <x:c r="C25" s="100" t="n">
        <x:v>46220.520833333336</x:v>
      </x:c>
      <x:c r="D25" s="102" t="n">
        <x:v>100000000</x:v>
      </x:c>
      <x:c r="E25" s="12" t="str">
        <x:v>Cọc thành công</x:v>
      </x:c>
      <x:c r="F25" s="100" t="n">
        <x:v>46220.5125</x:v>
      </x:c>
      <x:c r="G25" s="12" t="str">
        <x:v>Dữ liệu mô phỏng phục vụ thực hành SQL</x:v>
      </x:c>
      <x:c r="H25" s="14" t="str">
        <x:v>C5L3-10-21</x:v>
      </x:c>
      <x:c r="I25" s="14" t="str">
        <x:v>NV006</x:v>
      </x:c>
    </x:row>
    <x:row r="26" ht="15" hidden="0" customHeight="1">
      <x:c r="A26" s="14" t="str">
        <x:v>LL025</x:v>
      </x:c>
      <x:c r="B26" s="100" t="n">
        <x:v>46218.375</x:v>
      </x:c>
      <x:c r="C26" s="100" t="n">
        <x:v>46218.395833333336</x:v>
      </x:c>
      <x:c r="D26" s="102" t="n">
        <x:v>100000000</x:v>
      </x:c>
      <x:c r="E26" s="12" t="str">
        <x:v>Hết thời gian</x:v>
      </x:c>
      <x:c r="F26" s="100"/>
      <x:c r="G26" s="12" t="str">
        <x:v>Dữ liệu mô phỏng phục vụ thực hành SQL</x:v>
      </x:c>
      <x:c r="H26" s="14" t="str">
        <x:v>V1.0506</x:v>
      </x:c>
      <x:c r="I26" s="14" t="str">
        <x:v>NV001</x:v>
      </x:c>
    </x:row>
    <x:row r="27" ht="15" hidden="0" customHeight="1">
      <x:c r="A27" s="14" t="str">
        <x:v>LL026</x:v>
      </x:c>
      <x:c r="B27" s="100" t="n">
        <x:v>46219.38888888889</x:v>
      </x:c>
      <x:c r="C27" s="100" t="n">
        <x:v>46219.40972222222</x:v>
      </x:c>
      <x:c r="D27" s="102" t="n">
        <x:v>100000000</x:v>
      </x:c>
      <x:c r="E27" s="12" t="str">
        <x:v>Khách hủy</x:v>
      </x:c>
      <x:c r="F27" s="100"/>
      <x:c r="G27" s="12" t="str">
        <x:v>Dữ liệu mô phỏng phục vụ thực hành SQL</x:v>
      </x:c>
      <x:c r="H27" s="14" t="str">
        <x:v>V2.0505</x:v>
      </x:c>
      <x:c r="I27" s="14" t="str">
        <x:v>NV002</x:v>
      </x:c>
    </x:row>
    <x:row r="28" ht="15" hidden="0" customHeight="1">
      <x:c r="A28" s="14" t="str">
        <x:v>LL027</x:v>
      </x:c>
      <x:c r="B28" s="100" t="n">
        <x:v>46220.40277777778</x:v>
      </x:c>
      <x:c r="C28" s="100" t="n">
        <x:v>46220.42361111111</x:v>
      </x:c>
      <x:c r="D28" s="102" t="n">
        <x:v>100000000</x:v>
      </x:c>
      <x:c r="E28" s="12" t="str">
        <x:v>Hết thời gian</x:v>
      </x:c>
      <x:c r="F28" s="100"/>
      <x:c r="G28" s="12" t="str">
        <x:v>Dữ liệu mô phỏng phục vụ thực hành SQL</x:v>
      </x:c>
      <x:c r="H28" s="14" t="str">
        <x:v>V2.1912</x:v>
      </x:c>
      <x:c r="I28" s="14" t="str">
        <x:v>NV003</x:v>
      </x:c>
    </x:row>
    <x:row r="29" ht="15" hidden="0" customHeight="1">
      <x:c r="A29" s="14" t="str">
        <x:v>LL028</x:v>
      </x:c>
      <x:c r="B29" s="100" t="n">
        <x:v>46221.416666666664</x:v>
      </x:c>
      <x:c r="C29" s="100" t="n">
        <x:v>46221.4375</x:v>
      </x:c>
      <x:c r="D29" s="102" t="n">
        <x:v>500000000</x:v>
      </x:c>
      <x:c r="E29" s="12" t="str">
        <x:v>Khách hủy</x:v>
      </x:c>
      <x:c r="F29" s="100"/>
      <x:c r="G29" s="12" t="str">
        <x:v>Dữ liệu mô phỏng phục vụ thực hành SQL</x:v>
      </x:c>
      <x:c r="H29" s="14" t="str">
        <x:v>TT4-8</x:v>
      </x:c>
      <x:c r="I29" s="14" t="str">
        <x:v>NV004</x:v>
      </x:c>
    </x:row>
    <x:row r="30" ht="15" hidden="0" customHeight="1">
      <x:c r="A30" s="14" t="str">
        <x:v>LL029</x:v>
      </x:c>
      <x:c r="B30" s="100" t="n">
        <x:v>46222.375</x:v>
      </x:c>
      <x:c r="C30" s="100" t="n">
        <x:v>46222.395833333336</x:v>
      </x:c>
      <x:c r="D30" s="102" t="n">
        <x:v>500000000</x:v>
      </x:c>
      <x:c r="E30" s="12" t="str">
        <x:v>Hết thời gian</x:v>
      </x:c>
      <x:c r="F30" s="100"/>
      <x:c r="G30" s="12" t="str">
        <x:v>Dữ liệu mô phỏng phục vụ thực hành SQL</x:v>
      </x:c>
      <x:c r="H30" s="14" t="str">
        <x:v>TT4-24</x:v>
      </x:c>
      <x:c r="I30" s="14" t="str">
        <x:v>NV005</x:v>
      </x:c>
    </x:row>
    <x:row r="31" ht="15" hidden="0" customHeight="1">
      <x:c r="A31" s="14" t="str">
        <x:v>LL030</x:v>
      </x:c>
      <x:c r="B31" s="100" t="n">
        <x:v>46223.38888888889</x:v>
      </x:c>
      <x:c r="C31" s="100" t="n">
        <x:v>46223.40972222222</x:v>
      </x:c>
      <x:c r="D31" s="102" t="n">
        <x:v>500000000</x:v>
      </x:c>
      <x:c r="E31" s="12" t="str">
        <x:v>Khách hủy</x:v>
      </x:c>
      <x:c r="F31" s="100"/>
      <x:c r="G31" s="12" t="str">
        <x:v>Dữ liệu mô phỏng phục vụ thực hành SQL</x:v>
      </x:c>
      <x:c r="H31" s="14" t="str">
        <x:v>TT5-7</x:v>
      </x:c>
      <x:c r="I31" s="14" t="str">
        <x:v>NV006</x:v>
      </x:c>
    </x:row>
    <x:row r="32" ht="15" hidden="0" customHeight="1">
      <x:c r="A32" s="14" t="str">
        <x:v>LL031</x:v>
      </x:c>
      <x:c r="B32" s="100" t="n">
        <x:v>46224.40277777778</x:v>
      </x:c>
      <x:c r="C32" s="100" t="n">
        <x:v>46224.42361111111</x:v>
      </x:c>
      <x:c r="D32" s="102" t="n">
        <x:v>500000000</x:v>
      </x:c>
      <x:c r="E32" s="12" t="str">
        <x:v>Hết thời gian</x:v>
      </x:c>
      <x:c r="F32" s="100"/>
      <x:c r="G32" s="12" t="str">
        <x:v>Dữ liệu mô phỏng phục vụ thực hành SQL</x:v>
      </x:c>
      <x:c r="H32" s="14" t="str">
        <x:v>TT7-1</x:v>
      </x:c>
      <x:c r="I32" s="14" t="str">
        <x:v>NV001</x:v>
      </x:c>
    </x:row>
    <x:row r="33" ht="15" hidden="0" customHeight="1">
      <x:c r="A33" s="14" t="str">
        <x:v>LL032</x:v>
      </x:c>
      <x:c r="B33" s="100" t="n">
        <x:v>46225.416666666664</x:v>
      </x:c>
      <x:c r="C33" s="100" t="n">
        <x:v>46225.4375</x:v>
      </x:c>
      <x:c r="D33" s="102" t="n">
        <x:v>500000000</x:v>
      </x:c>
      <x:c r="E33" s="12" t="str">
        <x:v>Khách hủy</x:v>
      </x:c>
      <x:c r="F33" s="100"/>
      <x:c r="G33" s="12" t="str">
        <x:v>Dữ liệu mô phỏng phục vụ thực hành SQL</x:v>
      </x:c>
      <x:c r="H33" s="14" t="str">
        <x:v>TT9-2</x:v>
      </x:c>
      <x:c r="I33" s="14" t="str">
        <x:v>NV002</x:v>
      </x:c>
    </x:row>
    <x:row r="34" ht="15" hidden="0" customHeight="1">
      <x:c r="A34" s="14" t="str">
        <x:v>LL033</x:v>
      </x:c>
      <x:c r="B34" s="100" t="n">
        <x:v>46226.375</x:v>
      </x:c>
      <x:c r="C34" s="100" t="n">
        <x:v>46226.395833333336</x:v>
      </x:c>
      <x:c r="D34" s="102" t="n">
        <x:v>100000000</x:v>
      </x:c>
      <x:c r="E34" s="12" t="str">
        <x:v>Hết thời gian</x:v>
      </x:c>
      <x:c r="F34" s="100"/>
      <x:c r="G34" s="12" t="str">
        <x:v>Dữ liệu mô phỏng phục vụ thực hành SQL</x:v>
      </x:c>
      <x:c r="H34" s="14" t="str">
        <x:v>HH-A-36-19</x:v>
      </x:c>
      <x:c r="I34" s="14" t="str">
        <x:v>NV003</x:v>
      </x:c>
    </x:row>
    <x:row r="35" ht="15" hidden="0" customHeight="1">
      <x:c r="A35" s="14" t="str">
        <x:v>LL034</x:v>
      </x:c>
      <x:c r="B35" s="100" t="n">
        <x:v>46227.38888888889</x:v>
      </x:c>
      <x:c r="C35" s="100" t="n">
        <x:v>46227.40972222222</x:v>
      </x:c>
      <x:c r="D35" s="102" t="n">
        <x:v>100000000</x:v>
      </x:c>
      <x:c r="E35" s="12" t="str">
        <x:v>Khách hủy</x:v>
      </x:c>
      <x:c r="F35" s="100"/>
      <x:c r="G35" s="12" t="str">
        <x:v>Dữ liệu mô phỏng phục vụ thực hành SQL</x:v>
      </x:c>
      <x:c r="H35" s="14" t="str">
        <x:v>HH-A-09-23</x:v>
      </x:c>
      <x:c r="I35" s="14" t="str">
        <x:v>NV004</x:v>
      </x:c>
    </x:row>
    <x:row r="36" ht="15" hidden="0" customHeight="1">
      <x:c r="A36" s="14" t="str">
        <x:v>LL035</x:v>
      </x:c>
      <x:c r="B36" s="100" t="n">
        <x:v>46228.40277777778</x:v>
      </x:c>
      <x:c r="C36" s="100" t="n">
        <x:v>46228.42361111111</x:v>
      </x:c>
      <x:c r="D36" s="102" t="n">
        <x:v>100000000</x:v>
      </x:c>
      <x:c r="E36" s="12" t="str">
        <x:v>Hết thời gian</x:v>
      </x:c>
      <x:c r="F36" s="100"/>
      <x:c r="G36" s="12" t="str">
        <x:v>Dữ liệu mô phỏng phục vụ thực hành SQL</x:v>
      </x:c>
      <x:c r="H36" s="14" t="str">
        <x:v>HH-B-30-12</x:v>
      </x:c>
      <x:c r="I36" s="14" t="str">
        <x:v>NV005</x:v>
      </x:c>
    </x:row>
    <x:row r="37" ht="15" hidden="0" customHeight="1">
      <x:c r="A37" s="14" t="str">
        <x:v>LL036</x:v>
      </x:c>
      <x:c r="B37" s="100" t="n">
        <x:v>46229.416666666664</x:v>
      </x:c>
      <x:c r="C37" s="100" t="n">
        <x:v>46229.4375</x:v>
      </x:c>
      <x:c r="D37" s="102" t="n">
        <x:v>100000000</x:v>
      </x:c>
      <x:c r="E37" s="12" t="str">
        <x:v>Khách hủy</x:v>
      </x:c>
      <x:c r="F37" s="100"/>
      <x:c r="G37" s="12" t="str">
        <x:v>Dữ liệu mô phỏng phục vụ thực hành SQL</x:v>
      </x:c>
      <x:c r="H37" s="14" t="str">
        <x:v>HH-B-42-20</x:v>
      </x:c>
      <x:c r="I37" s="14" t="str">
        <x:v>NV006</x:v>
      </x:c>
    </x:row>
    <x:row r="38" ht="15" hidden="0" customHeight="1">
      <x:c r="A38" s="14" t="str">
        <x:v>LL037</x:v>
      </x:c>
      <x:c r="B38" s="100" t="n">
        <x:v>46230.375</x:v>
      </x:c>
      <x:c r="C38" s="100" t="n">
        <x:v>46230.395833333336</x:v>
      </x:c>
      <x:c r="D38" s="102" t="n">
        <x:v>100000000</x:v>
      </x:c>
      <x:c r="E38" s="12" t="str">
        <x:v>Hết thời gian</x:v>
      </x:c>
      <x:c r="F38" s="100"/>
      <x:c r="G38" s="12" t="str">
        <x:v>Dữ liệu mô phỏng phục vụ thực hành SQL</x:v>
      </x:c>
      <x:c r="H38" s="14" t="str">
        <x:v>HH-B-39-18A</x:v>
      </x:c>
      <x:c r="I38" s="14" t="str">
        <x:v>NV001</x:v>
      </x:c>
    </x:row>
    <x:row r="39" ht="15" hidden="0" customHeight="1">
      <x:c r="A39" s="14" t="str">
        <x:v>LL038</x:v>
      </x:c>
      <x:c r="B39" s="100" t="n">
        <x:v>46231.38888888889</x:v>
      </x:c>
      <x:c r="C39" s="100" t="n">
        <x:v>46231.40972222222</x:v>
      </x:c>
      <x:c r="D39" s="102" t="n">
        <x:v>100000000</x:v>
      </x:c>
      <x:c r="E39" s="12" t="str">
        <x:v>Khách hủy</x:v>
      </x:c>
      <x:c r="F39" s="100"/>
      <x:c r="G39" s="12" t="str">
        <x:v>Dữ liệu mô phỏng phục vụ thực hành SQL</x:v>
      </x:c>
      <x:c r="H39" s="14" t="str">
        <x:v>C5L2-23-15A</x:v>
      </x:c>
      <x:c r="I39" s="14" t="str">
        <x:v>NV002</x:v>
      </x:c>
    </x:row>
    <x:row r="40" ht="15" hidden="0" customHeight="1">
      <x:c r="A40" s="14" t="str">
        <x:v>LL039</x:v>
      </x:c>
      <x:c r="B40" s="100" t="n">
        <x:v>46232.40277777778</x:v>
      </x:c>
      <x:c r="C40" s="100" t="n">
        <x:v>46232.42361111111</x:v>
      </x:c>
      <x:c r="D40" s="102" t="n">
        <x:v>100000000</x:v>
      </x:c>
      <x:c r="E40" s="12" t="str">
        <x:v>Hết thời gian</x:v>
      </x:c>
      <x:c r="F40" s="100"/>
      <x:c r="G40" s="12" t="str">
        <x:v>Dữ liệu mô phỏng phục vụ thực hành SQL</x:v>
      </x:c>
      <x:c r="H40" s="14" t="str">
        <x:v>C5L2-23-15</x:v>
      </x:c>
      <x:c r="I40" s="14" t="str">
        <x:v>NV003</x:v>
      </x:c>
    </x:row>
    <x:row r="41" ht="15" hidden="0" customHeight="1">
      <x:c r="A41" s="14" t="str">
        <x:v>LL040</x:v>
      </x:c>
      <x:c r="B41" s="100" t="n">
        <x:v>46233.416666666664</x:v>
      </x:c>
      <x:c r="C41" s="100" t="n">
        <x:v>46233.4375</x:v>
      </x:c>
      <x:c r="D41" s="102" t="n">
        <x:v>100000000</x:v>
      </x:c>
      <x:c r="E41" s="12" t="str">
        <x:v>Khách hủy</x:v>
      </x:c>
      <x:c r="F41" s="100"/>
      <x:c r="G41" s="12" t="str">
        <x:v>Dữ liệu mô phỏng phục vụ thực hành SQL</x:v>
      </x:c>
      <x:c r="H41" s="14" t="str">
        <x:v>C5L3-10-12A</x:v>
      </x:c>
      <x:c r="I41" s="14" t="str">
        <x:v>NV004</x:v>
      </x:c>
    </x:row>
    <x:row r="42">
      <x:c r="A42" s="12" t="str">
        <x:v>LL041</x:v>
      </x:c>
      <x:c r="B42" s="100" t="n">
        <x:v>46027.302083333336</x:v>
      </x:c>
      <x:c r="C42" s="100" t="n">
        <x:v>46027.322916666664</x:v>
      </x:c>
      <x:c r="D42" s="102" t="n">
        <x:v>100000000</x:v>
      </x:c>
      <x:c r="E42" s="12" t="str">
        <x:v>Cọc thành công</x:v>
      </x:c>
      <x:c r="F42" s="100" t="n">
        <x:v>46027.31041666667</x:v>
      </x:c>
      <x:c r="G42" s="12" t="str">
        <x:v>Dữ liệu mô phỏng phục vụ báo cáo và thực hành SQL</x:v>
      </x:c>
      <x:c r="H42" s="14" t="str">
        <x:v>V1.0506</x:v>
      </x:c>
      <x:c r="I42" s="12" t="str">
        <x:v>NV001</x:v>
      </x:c>
    </x:row>
    <x:row r="43">
      <x:c r="A43" s="12" t="str">
        <x:v>LL042</x:v>
      </x:c>
      <x:c r="B43" s="100" t="n">
        <x:v>46031.354166666664</x:v>
      </x:c>
      <x:c r="C43" s="100" t="n">
        <x:v>46031.375</x:v>
      </x:c>
      <x:c r="D43" s="102" t="n">
        <x:v>200000000</x:v>
      </x:c>
      <x:c r="E43" s="12" t="str">
        <x:v>Cọc thành công</x:v>
      </x:c>
      <x:c r="F43" s="100" t="n">
        <x:v>46031.36319444444</x:v>
      </x:c>
      <x:c r="G43" s="12" t="str">
        <x:v>Dữ liệu mô phỏng phục vụ báo cáo và thực hành SQL</x:v>
      </x:c>
      <x:c r="H43" s="14" t="str">
        <x:v>TT4-3</x:v>
      </x:c>
      <x:c r="I43" s="12" t="str">
        <x:v>NV002</x:v>
      </x:c>
    </x:row>
    <x:row r="44">
      <x:c r="A44" s="12" t="str">
        <x:v>LL043</x:v>
      </x:c>
      <x:c r="B44" s="100" t="n">
        <x:v>46035.375</x:v>
      </x:c>
      <x:c r="C44" s="100" t="n">
        <x:v>46035.395833333336</x:v>
      </x:c>
      <x:c r="D44" s="102" t="n">
        <x:v>200000000</x:v>
      </x:c>
      <x:c r="E44" s="12" t="str">
        <x:v>Cọc thành công</x:v>
      </x:c>
      <x:c r="F44" s="100" t="n">
        <x:v>46035.384722222225</x:v>
      </x:c>
      <x:c r="G44" s="12" t="str">
        <x:v>Dữ liệu mô phỏng phục vụ báo cáo và thực hành SQL</x:v>
      </x:c>
      <x:c r="H44" s="14" t="str">
        <x:v>TT4-4</x:v>
      </x:c>
      <x:c r="I44" s="12" t="str">
        <x:v>NV003</x:v>
      </x:c>
    </x:row>
    <x:row r="45">
      <x:c r="A45" s="12" t="str">
        <x:v>LL044</x:v>
      </x:c>
      <x:c r="B45" s="100" t="n">
        <x:v>46041.5</x:v>
      </x:c>
      <x:c r="C45" s="100" t="n">
        <x:v>46041.520833333336</x:v>
      </x:c>
      <x:c r="D45" s="102" t="n">
        <x:v>100000000</x:v>
      </x:c>
      <x:c r="E45" s="12" t="str">
        <x:v>Cọc thành công</x:v>
      </x:c>
      <x:c r="F45" s="100" t="n">
        <x:v>46041.510416666664</x:v>
      </x:c>
      <x:c r="G45" s="12" t="str">
        <x:v>Dữ liệu mô phỏng phục vụ báo cáo và thực hành SQL</x:v>
      </x:c>
      <x:c r="H45" s="14" t="str">
        <x:v>V1.0520</x:v>
      </x:c>
      <x:c r="I45" s="12" t="str">
        <x:v>NV004</x:v>
      </x:c>
    </x:row>
    <x:row r="46">
      <x:c r="A46" s="12" t="str">
        <x:v>LL045</x:v>
      </x:c>
      <x:c r="B46" s="100" t="n">
        <x:v>46045.5625</x:v>
      </x:c>
      <x:c r="C46" s="100" t="n">
        <x:v>46045.583333333336</x:v>
      </x:c>
      <x:c r="D46" s="102" t="n">
        <x:v>200000000</x:v>
      </x:c>
      <x:c r="E46" s="12" t="str">
        <x:v>Cọc thành công</x:v>
      </x:c>
      <x:c r="F46" s="100" t="n">
        <x:v>46045.57361111111</x:v>
      </x:c>
      <x:c r="G46" s="12" t="str">
        <x:v>Dữ liệu mô phỏng phục vụ báo cáo và thực hành SQL</x:v>
      </x:c>
      <x:c r="H46" s="14" t="str">
        <x:v>TT4-5</x:v>
      </x:c>
      <x:c r="I46" s="12" t="str">
        <x:v>NV005</x:v>
      </x:c>
    </x:row>
    <x:row r="47">
      <x:c r="A47" s="12" t="str">
        <x:v>LL046</x:v>
      </x:c>
      <x:c r="B47" s="100" t="n">
        <x:v>46049.59375</x:v>
      </x:c>
      <x:c r="C47" s="100" t="n">
        <x:v>46049.614583333336</x:v>
      </x:c>
      <x:c r="D47" s="102" t="n">
        <x:v>200000000</x:v>
      </x:c>
      <x:c r="E47" s="12" t="str">
        <x:v>Cọc thành công</x:v>
      </x:c>
      <x:c r="F47" s="100" t="n">
        <x:v>46049.60555555556</x:v>
      </x:c>
      <x:c r="G47" s="12" t="str">
        <x:v>Dữ liệu mô phỏng phục vụ báo cáo và thực hành SQL</x:v>
      </x:c>
      <x:c r="H47" s="14" t="str">
        <x:v>TT4-6</x:v>
      </x:c>
      <x:c r="I47" s="12" t="str">
        <x:v>NV006</x:v>
      </x:c>
    </x:row>
    <x:row r="48">
      <x:c r="A48" s="12" t="str">
        <x:v>LL047</x:v>
      </x:c>
      <x:c r="B48" s="100" t="n">
        <x:v>46058.302083333336</x:v>
      </x:c>
      <x:c r="C48" s="100" t="n">
        <x:v>46058.322916666664</x:v>
      </x:c>
      <x:c r="D48" s="102" t="n">
        <x:v>100000000</x:v>
      </x:c>
      <x:c r="E48" s="12" t="str">
        <x:v>Cọc thành công</x:v>
      </x:c>
      <x:c r="F48" s="100" t="n">
        <x:v>46058.31458333333</x:v>
      </x:c>
      <x:c r="G48" s="12" t="str">
        <x:v>Dữ liệu mô phỏng phục vụ báo cáo và thực hành SQL</x:v>
      </x:c>
      <x:c r="H48" s="14" t="str">
        <x:v>V1.0720</x:v>
      </x:c>
      <x:c r="I48" s="12" t="str">
        <x:v>NV011</x:v>
      </x:c>
    </x:row>
    <x:row r="49">
      <x:c r="A49" s="12" t="str">
        <x:v>LL048</x:v>
      </x:c>
      <x:c r="B49" s="100" t="n">
        <x:v>46062.354166666664</x:v>
      </x:c>
      <x:c r="C49" s="100" t="n">
        <x:v>46062.375</x:v>
      </x:c>
      <x:c r="D49" s="102" t="n">
        <x:v>200000000</x:v>
      </x:c>
      <x:c r="E49" s="12" t="str">
        <x:v>Cọc thành công</x:v>
      </x:c>
      <x:c r="F49" s="100" t="n">
        <x:v>46062.36736111111</x:v>
      </x:c>
      <x:c r="G49" s="12" t="str">
        <x:v>Dữ liệu mô phỏng phục vụ báo cáo và thực hành SQL</x:v>
      </x:c>
      <x:c r="H49" s="14" t="str">
        <x:v>TT4-7</x:v>
      </x:c>
      <x:c r="I49" s="12" t="str">
        <x:v>NV012</x:v>
      </x:c>
    </x:row>
    <x:row r="50">
      <x:c r="A50" s="12" t="str">
        <x:v>LL049</x:v>
      </x:c>
      <x:c r="B50" s="100" t="n">
        <x:v>46066.375</x:v>
      </x:c>
      <x:c r="C50" s="100" t="n">
        <x:v>46066.395833333336</x:v>
      </x:c>
      <x:c r="D50" s="102" t="n">
        <x:v>200000000</x:v>
      </x:c>
      <x:c r="E50" s="12" t="str">
        <x:v>Cọc thành công</x:v>
      </x:c>
      <x:c r="F50" s="100" t="n">
        <x:v>46066.38888888889</x:v>
      </x:c>
      <x:c r="G50" s="12" t="str">
        <x:v>Dữ liệu mô phỏng phục vụ báo cáo và thực hành SQL</x:v>
      </x:c>
      <x:c r="H50" s="14" t="str">
        <x:v>TT4-8</x:v>
      </x:c>
      <x:c r="I50" s="12" t="str">
        <x:v>NV013</x:v>
      </x:c>
    </x:row>
    <x:row r="51">
      <x:c r="A51" s="12" t="str">
        <x:v>LL050</x:v>
      </x:c>
      <x:c r="B51" s="100" t="n">
        <x:v>46071.5</x:v>
      </x:c>
      <x:c r="C51" s="100" t="n">
        <x:v>46071.520833333336</x:v>
      </x:c>
      <x:c r="D51" s="102" t="n">
        <x:v>100000000</x:v>
      </x:c>
      <x:c r="E51" s="12" t="str">
        <x:v>Cọc thành công</x:v>
      </x:c>
      <x:c r="F51" s="100" t="n">
        <x:v>46071.51458333333</x:v>
      </x:c>
      <x:c r="G51" s="12" t="str">
        <x:v>Dữ liệu mô phỏng phục vụ báo cáo và thực hành SQL</x:v>
      </x:c>
      <x:c r="H51" s="14" t="str">
        <x:v>V1.0806</x:v>
      </x:c>
      <x:c r="I51" s="12" t="str">
        <x:v>NV001</x:v>
      </x:c>
    </x:row>
    <x:row r="52">
      <x:c r="A52" s="12" t="str">
        <x:v>LL051</x:v>
      </x:c>
      <x:c r="B52" s="100" t="n">
        <x:v>46076.5625</x:v>
      </x:c>
      <x:c r="C52" s="100" t="n">
        <x:v>46076.583333333336</x:v>
      </x:c>
      <x:c r="D52" s="102" t="n">
        <x:v>200000000</x:v>
      </x:c>
      <x:c r="E52" s="12" t="str">
        <x:v>Cọc thành công</x:v>
      </x:c>
      <x:c r="F52" s="100" t="n">
        <x:v>46076.57083333333</x:v>
      </x:c>
      <x:c r="G52" s="12" t="str">
        <x:v>Dữ liệu mô phỏng phục vụ báo cáo và thực hành SQL</x:v>
      </x:c>
      <x:c r="H52" s="14" t="str">
        <x:v>TT4-9</x:v>
      </x:c>
      <x:c r="I52" s="12" t="str">
        <x:v>NV002</x:v>
      </x:c>
    </x:row>
    <x:row r="53">
      <x:c r="A53" s="12" t="str">
        <x:v>LL052</x:v>
      </x:c>
      <x:c r="B53" s="100" t="n">
        <x:v>46080.59375</x:v>
      </x:c>
      <x:c r="C53" s="100" t="n">
        <x:v>46080.614583333336</x:v>
      </x:c>
      <x:c r="D53" s="102" t="n">
        <x:v>200000000</x:v>
      </x:c>
      <x:c r="E53" s="12" t="str">
        <x:v>Cọc thành công</x:v>
      </x:c>
      <x:c r="F53" s="100" t="n">
        <x:v>46080.60277777778</x:v>
      </x:c>
      <x:c r="G53" s="12" t="str">
        <x:v>Dữ liệu mô phỏng phục vụ báo cáo và thực hành SQL</x:v>
      </x:c>
      <x:c r="H53" s="14" t="str">
        <x:v>TT4-10</x:v>
      </x:c>
      <x:c r="I53" s="12" t="str">
        <x:v>NV003</x:v>
      </x:c>
    </x:row>
    <x:row r="54">
      <x:c r="A54" s="12" t="str">
        <x:v>LL053</x:v>
      </x:c>
      <x:c r="B54" s="100" t="n">
        <x:v>46086.302083333336</x:v>
      </x:c>
      <x:c r="C54" s="100" t="n">
        <x:v>46086.322916666664</x:v>
      </x:c>
      <x:c r="D54" s="102" t="n">
        <x:v>100000000</x:v>
      </x:c>
      <x:c r="E54" s="12" t="str">
        <x:v>Cọc thành công</x:v>
      </x:c>
      <x:c r="F54" s="100" t="n">
        <x:v>46086.31180555555</x:v>
      </x:c>
      <x:c r="G54" s="12" t="str">
        <x:v>Dữ liệu mô phỏng phục vụ báo cáo và thực hành SQL</x:v>
      </x:c>
      <x:c r="H54" s="14" t="str">
        <x:v>V1.12A06</x:v>
      </x:c>
      <x:c r="I54" s="12" t="str">
        <x:v>NV004</x:v>
      </x:c>
    </x:row>
    <x:row r="55">
      <x:c r="A55" s="12" t="str">
        <x:v>LL054</x:v>
      </x:c>
      <x:c r="B55" s="100" t="n">
        <x:v>46090.354166666664</x:v>
      </x:c>
      <x:c r="C55" s="100" t="n">
        <x:v>46090.375</x:v>
      </x:c>
      <x:c r="D55" s="102" t="n">
        <x:v>200000000</x:v>
      </x:c>
      <x:c r="E55" s="12" t="str">
        <x:v>Cọc thành công</x:v>
      </x:c>
      <x:c r="F55" s="100" t="n">
        <x:v>46090.364583333336</x:v>
      </x:c>
      <x:c r="G55" s="12" t="str">
        <x:v>Dữ liệu mô phỏng phục vụ báo cáo và thực hành SQL</x:v>
      </x:c>
      <x:c r="H55" s="14" t="str">
        <x:v>TT4-11</x:v>
      </x:c>
      <x:c r="I55" s="12" t="str">
        <x:v>NV005</x:v>
      </x:c>
    </x:row>
    <x:row r="56">
      <x:c r="A56" s="12" t="str">
        <x:v>LL055</x:v>
      </x:c>
      <x:c r="B56" s="100" t="n">
        <x:v>46094.375</x:v>
      </x:c>
      <x:c r="C56" s="100" t="n">
        <x:v>46094.395833333336</x:v>
      </x:c>
      <x:c r="D56" s="102" t="n">
        <x:v>200000000</x:v>
      </x:c>
      <x:c r="E56" s="12" t="str">
        <x:v>Cọc thành công</x:v>
      </x:c>
      <x:c r="F56" s="100" t="n">
        <x:v>46094.38611111111</x:v>
      </x:c>
      <x:c r="G56" s="12" t="str">
        <x:v>Dữ liệu mô phỏng phục vụ báo cáo và thực hành SQL</x:v>
      </x:c>
      <x:c r="H56" s="14" t="str">
        <x:v>TT4-12</x:v>
      </x:c>
      <x:c r="I56" s="12" t="str">
        <x:v>NV006</x:v>
      </x:c>
    </x:row>
    <x:row r="57">
      <x:c r="A57" s="12" t="str">
        <x:v>LL056</x:v>
      </x:c>
      <x:c r="B57" s="100" t="n">
        <x:v>46099.5</x:v>
      </x:c>
      <x:c r="C57" s="100" t="n">
        <x:v>46099.520833333336</x:v>
      </x:c>
      <x:c r="D57" s="102" t="n">
        <x:v>100000000</x:v>
      </x:c>
      <x:c r="E57" s="12" t="str">
        <x:v>Cọc thành công</x:v>
      </x:c>
      <x:c r="F57" s="100" t="n">
        <x:v>46099.51180555556</x:v>
      </x:c>
      <x:c r="G57" s="12" t="str">
        <x:v>Dữ liệu mô phỏng phục vụ báo cáo và thực hành SQL</x:v>
      </x:c>
      <x:c r="H57" s="14" t="str">
        <x:v>V1.1406</x:v>
      </x:c>
      <x:c r="I57" s="12" t="str">
        <x:v>NV011</x:v>
      </x:c>
    </x:row>
    <x:row r="58">
      <x:c r="A58" s="12" t="str">
        <x:v>LL057</x:v>
      </x:c>
      <x:c r="B58" s="100" t="n">
        <x:v>46104.5625</x:v>
      </x:c>
      <x:c r="C58" s="100" t="n">
        <x:v>46104.583333333336</x:v>
      </x:c>
      <x:c r="D58" s="102" t="n">
        <x:v>200000000</x:v>
      </x:c>
      <x:c r="E58" s="12" t="str">
        <x:v>Cọc thành công</x:v>
      </x:c>
      <x:c r="F58" s="100" t="n">
        <x:v>46104.575</x:v>
      </x:c>
      <x:c r="G58" s="12" t="str">
        <x:v>Dữ liệu mô phỏng phục vụ báo cáo và thực hành SQL</x:v>
      </x:c>
      <x:c r="H58" s="14" t="str">
        <x:v>TT4-13</x:v>
      </x:c>
      <x:c r="I58" s="12" t="str">
        <x:v>NV012</x:v>
      </x:c>
    </x:row>
    <x:row r="59">
      <x:c r="A59" s="12" t="str">
        <x:v>LL058</x:v>
      </x:c>
      <x:c r="B59" s="100" t="n">
        <x:v>46108.59375</x:v>
      </x:c>
      <x:c r="C59" s="100" t="n">
        <x:v>46108.614583333336</x:v>
      </x:c>
      <x:c r="D59" s="102" t="n">
        <x:v>200000000</x:v>
      </x:c>
      <x:c r="E59" s="12" t="str">
        <x:v>Cọc thành công</x:v>
      </x:c>
      <x:c r="F59" s="100" t="n">
        <x:v>46108.606944444444</x:v>
      </x:c>
      <x:c r="G59" s="12" t="str">
        <x:v>Dữ liệu mô phỏng phục vụ báo cáo và thực hành SQL</x:v>
      </x:c>
      <x:c r="H59" s="14" t="str">
        <x:v>TT4-14</x:v>
      </x:c>
      <x:c r="I59" s="12" t="str">
        <x:v>NV013</x:v>
      </x:c>
    </x:row>
    <x:row r="60">
      <x:c r="A60" s="12" t="str">
        <x:v>LL059</x:v>
      </x:c>
      <x:c r="B60" s="100" t="n">
        <x:v>46118.302083333336</x:v>
      </x:c>
      <x:c r="C60" s="100" t="n">
        <x:v>46118.322916666664</x:v>
      </x:c>
      <x:c r="D60" s="102" t="n">
        <x:v>100000000</x:v>
      </x:c>
      <x:c r="E60" s="12" t="str">
        <x:v>Cọc thành công</x:v>
      </x:c>
      <x:c r="F60" s="100" t="n">
        <x:v>46118.31597222222</x:v>
      </x:c>
      <x:c r="G60" s="12" t="str">
        <x:v>Dữ liệu mô phỏng phục vụ báo cáo và thực hành SQL</x:v>
      </x:c>
      <x:c r="H60" s="14" t="str">
        <x:v>V1.1706</x:v>
      </x:c>
      <x:c r="I60" s="12" t="str">
        <x:v>NV001</x:v>
      </x:c>
    </x:row>
    <x:row r="61">
      <x:c r="A61" s="12" t="str">
        <x:v>LL060</x:v>
      </x:c>
      <x:c r="B61" s="100" t="n">
        <x:v>46121.354166666664</x:v>
      </x:c>
      <x:c r="C61" s="100" t="n">
        <x:v>46121.375</x:v>
      </x:c>
      <x:c r="D61" s="102" t="n">
        <x:v>200000000</x:v>
      </x:c>
      <x:c r="E61" s="12" t="str">
        <x:v>Cọc thành công</x:v>
      </x:c>
      <x:c r="F61" s="100" t="n">
        <x:v>46121.36875</x:v>
      </x:c>
      <x:c r="G61" s="12" t="str">
        <x:v>Dữ liệu mô phỏng phục vụ báo cáo và thực hành SQL</x:v>
      </x:c>
      <x:c r="H61" s="14" t="str">
        <x:v>TT4-17</x:v>
      </x:c>
      <x:c r="I61" s="12" t="str">
        <x:v>NV002</x:v>
      </x:c>
    </x:row>
    <x:row r="62">
      <x:c r="A62" s="12" t="str">
        <x:v>LL061</x:v>
      </x:c>
      <x:c r="B62" s="100" t="n">
        <x:v>46125.375</x:v>
      </x:c>
      <x:c r="C62" s="100" t="n">
        <x:v>46125.395833333336</x:v>
      </x:c>
      <x:c r="D62" s="102" t="n">
        <x:v>200000000</x:v>
      </x:c>
      <x:c r="E62" s="12" t="str">
        <x:v>Cọc thành công</x:v>
      </x:c>
      <x:c r="F62" s="100" t="n">
        <x:v>46125.38333333333</x:v>
      </x:c>
      <x:c r="G62" s="12" t="str">
        <x:v>Dữ liệu mô phỏng phục vụ báo cáo và thực hành SQL</x:v>
      </x:c>
      <x:c r="H62" s="14" t="str">
        <x:v>TT4-22</x:v>
      </x:c>
      <x:c r="I62" s="12" t="str">
        <x:v>NV003</x:v>
      </x:c>
    </x:row>
    <x:row r="63">
      <x:c r="A63" s="12" t="str">
        <x:v>LL062</x:v>
      </x:c>
      <x:c r="B63" s="100" t="n">
        <x:v>46130.5</x:v>
      </x:c>
      <x:c r="C63" s="100" t="n">
        <x:v>46130.520833333336</x:v>
      </x:c>
      <x:c r="D63" s="102" t="n">
        <x:v>100000000</x:v>
      </x:c>
      <x:c r="E63" s="12" t="str">
        <x:v>Cọc thành công</x:v>
      </x:c>
      <x:c r="F63" s="100" t="n">
        <x:v>46130.50902777778</x:v>
      </x:c>
      <x:c r="G63" s="12" t="str">
        <x:v>Dữ liệu mô phỏng phục vụ báo cáo và thực hành SQL</x:v>
      </x:c>
      <x:c r="H63" s="14" t="str">
        <x:v>V1.2406</x:v>
      </x:c>
      <x:c r="I63" s="12" t="str">
        <x:v>NV004</x:v>
      </x:c>
    </x:row>
    <x:row r="64">
      <x:c r="A64" s="12" t="str">
        <x:v>LL063</x:v>
      </x:c>
      <x:c r="B64" s="100" t="n">
        <x:v>46135.5625</x:v>
      </x:c>
      <x:c r="C64" s="100" t="n">
        <x:v>46135.583333333336</x:v>
      </x:c>
      <x:c r="D64" s="102" t="n">
        <x:v>200000000</x:v>
      </x:c>
      <x:c r="E64" s="12" t="str">
        <x:v>Cọc thành công</x:v>
      </x:c>
      <x:c r="F64" s="100" t="n">
        <x:v>46135.572222222225</x:v>
      </x:c>
      <x:c r="G64" s="12" t="str">
        <x:v>Dữ liệu mô phỏng phục vụ báo cáo và thực hành SQL</x:v>
      </x:c>
      <x:c r="H64" s="14" t="str">
        <x:v>TT4-23</x:v>
      </x:c>
      <x:c r="I64" s="12" t="str">
        <x:v>NV005</x:v>
      </x:c>
    </x:row>
    <x:row r="65">
      <x:c r="A65" s="12" t="str">
        <x:v>LL064</x:v>
      </x:c>
      <x:c r="B65" s="100" t="n">
        <x:v>46139.59375</x:v>
      </x:c>
      <x:c r="C65" s="100" t="n">
        <x:v>46139.614583333336</x:v>
      </x:c>
      <x:c r="D65" s="102" t="n">
        <x:v>200000000</x:v>
      </x:c>
      <x:c r="E65" s="12" t="str">
        <x:v>Cọc thành công</x:v>
      </x:c>
      <x:c r="F65" s="100" t="n">
        <x:v>46139.604166666664</x:v>
      </x:c>
      <x:c r="G65" s="12" t="str">
        <x:v>Dữ liệu mô phỏng phục vụ báo cáo và thực hành SQL</x:v>
      </x:c>
      <x:c r="H65" s="14" t="str">
        <x:v>TT4-24</x:v>
      </x:c>
      <x:c r="I65" s="12" t="str">
        <x:v>NV006</x:v>
      </x:c>
    </x:row>
    <x:row r="66">
      <x:c r="A66" s="12" t="str">
        <x:v>LL065</x:v>
      </x:c>
      <x:c r="B66" s="100" t="n">
        <x:v>46147.302083333336</x:v>
      </x:c>
      <x:c r="C66" s="100" t="n">
        <x:v>46147.322916666664</x:v>
      </x:c>
      <x:c r="D66" s="102" t="n">
        <x:v>100000000</x:v>
      </x:c>
      <x:c r="E66" s="12" t="str">
        <x:v>Cọc thành công</x:v>
      </x:c>
      <x:c r="F66" s="100" t="n">
        <x:v>46147.31319444445</x:v>
      </x:c>
      <x:c r="G66" s="12" t="str">
        <x:v>Dữ liệu mô phỏng phục vụ báo cáo và thực hành SQL</x:v>
      </x:c>
      <x:c r="H66" s="14" t="str">
        <x:v>V1.2301</x:v>
      </x:c>
      <x:c r="I66" s="12" t="str">
        <x:v>NV011</x:v>
      </x:c>
    </x:row>
    <x:row r="67">
      <x:c r="A67" s="12" t="str">
        <x:v>LL066</x:v>
      </x:c>
      <x:c r="B67" s="100" t="n">
        <x:v>46151.354166666664</x:v>
      </x:c>
      <x:c r="C67" s="100" t="n">
        <x:v>46151.375</x:v>
      </x:c>
      <x:c r="D67" s="102" t="n">
        <x:v>200000000</x:v>
      </x:c>
      <x:c r="E67" s="12" t="str">
        <x:v>Cọc thành công</x:v>
      </x:c>
      <x:c r="F67" s="100" t="n">
        <x:v>46151.36597222222</x:v>
      </x:c>
      <x:c r="G67" s="12" t="str">
        <x:v>Dữ liệu mô phỏng phục vụ báo cáo và thực hành SQL</x:v>
      </x:c>
      <x:c r="H67" s="14" t="str">
        <x:v>TT4-25</x:v>
      </x:c>
      <x:c r="I67" s="12" t="str">
        <x:v>NV012</x:v>
      </x:c>
    </x:row>
    <x:row r="68">
      <x:c r="A68" s="12" t="str">
        <x:v>LL067</x:v>
      </x:c>
      <x:c r="B68" s="100" t="n">
        <x:v>46155.375</x:v>
      </x:c>
      <x:c r="C68" s="100" t="n">
        <x:v>46155.395833333336</x:v>
      </x:c>
      <x:c r="D68" s="102" t="n">
        <x:v>200000000</x:v>
      </x:c>
      <x:c r="E68" s="12" t="str">
        <x:v>Cọc thành công</x:v>
      </x:c>
      <x:c r="F68" s="100" t="n">
        <x:v>46155.3875</x:v>
      </x:c>
      <x:c r="G68" s="12" t="str">
        <x:v>Dữ liệu mô phỏng phục vụ báo cáo và thực hành SQL</x:v>
      </x:c>
      <x:c r="H68" s="14" t="str">
        <x:v>TT4-26</x:v>
      </x:c>
      <x:c r="I68" s="12" t="str">
        <x:v>NV013</x:v>
      </x:c>
    </x:row>
    <x:row r="69">
      <x:c r="A69" s="12" t="str">
        <x:v>LL068</x:v>
      </x:c>
      <x:c r="B69" s="100" t="n">
        <x:v>46160.5</x:v>
      </x:c>
      <x:c r="C69" s="100" t="n">
        <x:v>46160.520833333336</x:v>
      </x:c>
      <x:c r="D69" s="102" t="n">
        <x:v>100000000</x:v>
      </x:c>
      <x:c r="E69" s="12" t="str">
        <x:v>Cọc thành công</x:v>
      </x:c>
      <x:c r="F69" s="100" t="n">
        <x:v>46160.513194444444</x:v>
      </x:c>
      <x:c r="G69" s="12" t="str">
        <x:v>Dữ liệu mô phỏng phục vụ báo cáo và thực hành SQL</x:v>
      </x:c>
      <x:c r="H69" s="14" t="str">
        <x:v>V2.0504</x:v>
      </x:c>
      <x:c r="I69" s="12" t="str">
        <x:v>NV001</x:v>
      </x:c>
    </x:row>
    <x:row r="70">
      <x:c r="A70" s="12" t="str">
        <x:v>LL069</x:v>
      </x:c>
      <x:c r="B70" s="100" t="n">
        <x:v>46165.5625</x:v>
      </x:c>
      <x:c r="C70" s="100" t="n">
        <x:v>46165.583333333336</x:v>
      </x:c>
      <x:c r="D70" s="102" t="n">
        <x:v>200000000</x:v>
      </x:c>
      <x:c r="E70" s="12" t="str">
        <x:v>Cọc thành công</x:v>
      </x:c>
      <x:c r="F70" s="100" t="n">
        <x:v>46165.57638888889</x:v>
      </x:c>
      <x:c r="G70" s="12" t="str">
        <x:v>Dữ liệu mô phỏng phục vụ báo cáo và thực hành SQL</x:v>
      </x:c>
      <x:c r="H70" s="14" t="str">
        <x:v>TT4-27</x:v>
      </x:c>
      <x:c r="I70" s="12" t="str">
        <x:v>NV002</x:v>
      </x:c>
    </x:row>
    <x:row r="71">
      <x:c r="A71" s="12" t="str">
        <x:v>LL070</x:v>
      </x:c>
      <x:c r="B71" s="100" t="n">
        <x:v>46169.59375</x:v>
      </x:c>
      <x:c r="C71" s="100" t="n">
        <x:v>46169.614583333336</x:v>
      </x:c>
      <x:c r="D71" s="102" t="n">
        <x:v>200000000</x:v>
      </x:c>
      <x:c r="E71" s="12" t="str">
        <x:v>Cọc thành công</x:v>
      </x:c>
      <x:c r="F71" s="100" t="n">
        <x:v>46169.60833333333</x:v>
      </x:c>
      <x:c r="G71" s="12" t="str">
        <x:v>Dữ liệu mô phỏng phục vụ báo cáo và thực hành SQL</x:v>
      </x:c>
      <x:c r="H71" s="14" t="str">
        <x:v>TT4-28</x:v>
      </x:c>
      <x:c r="I71" s="12" t="str">
        <x:v>NV003</x:v>
      </x:c>
    </x:row>
    <x:row r="72">
      <x:c r="A72" s="12" t="str">
        <x:v>LL071</x:v>
      </x:c>
      <x:c r="B72" s="100" t="n">
        <x:v>46239.302083333336</x:v>
      </x:c>
      <x:c r="C72" s="100" t="n">
        <x:v>46239.322916666664</x:v>
      </x:c>
      <x:c r="D72" s="102" t="n">
        <x:v>100000000</x:v>
      </x:c>
      <x:c r="E72" s="12" t="str">
        <x:v>Cọc thành công</x:v>
      </x:c>
      <x:c r="F72" s="100" t="n">
        <x:v>46239.31041666667</x:v>
      </x:c>
      <x:c r="G72" s="12" t="str">
        <x:v>Dữ liệu mô phỏng phục vụ báo cáo và thực hành SQL</x:v>
      </x:c>
      <x:c r="H72" s="14" t="str">
        <x:v>V2.0505</x:v>
      </x:c>
      <x:c r="I72" s="12" t="str">
        <x:v>NV004</x:v>
      </x:c>
    </x:row>
    <x:row r="73">
      <x:c r="A73" s="12" t="str">
        <x:v>LL072</x:v>
      </x:c>
      <x:c r="B73" s="100" t="n">
        <x:v>46244.354166666664</x:v>
      </x:c>
      <x:c r="C73" s="100" t="n">
        <x:v>46244.375</x:v>
      </x:c>
      <x:c r="D73" s="102" t="n">
        <x:v>200000000</x:v>
      </x:c>
      <x:c r="E73" s="12" t="str">
        <x:v>Cọc thành công</x:v>
      </x:c>
      <x:c r="F73" s="100" t="n">
        <x:v>46244.36319444444</x:v>
      </x:c>
      <x:c r="G73" s="12" t="str">
        <x:v>Dữ liệu mô phỏng phục vụ báo cáo và thực hành SQL</x:v>
      </x:c>
      <x:c r="H73" s="14" t="str">
        <x:v>TT5-2</x:v>
      </x:c>
      <x:c r="I73" s="12" t="str">
        <x:v>NV005</x:v>
      </x:c>
    </x:row>
    <x:row r="74">
      <x:c r="A74" s="12" t="str">
        <x:v>LL073</x:v>
      </x:c>
      <x:c r="B74" s="100" t="n">
        <x:v>46247.375</x:v>
      </x:c>
      <x:c r="C74" s="100" t="n">
        <x:v>46247.395833333336</x:v>
      </x:c>
      <x:c r="D74" s="102" t="n">
        <x:v>200000000</x:v>
      </x:c>
      <x:c r="E74" s="12" t="str">
        <x:v>Cọc thành công</x:v>
      </x:c>
      <x:c r="F74" s="100" t="n">
        <x:v>46247.384722222225</x:v>
      </x:c>
      <x:c r="G74" s="12" t="str">
        <x:v>Dữ liệu mô phỏng phục vụ báo cáo và thực hành SQL</x:v>
      </x:c>
      <x:c r="H74" s="14" t="str">
        <x:v>TT5-3</x:v>
      </x:c>
      <x:c r="I74" s="12" t="str">
        <x:v>NV006</x:v>
      </x:c>
    </x:row>
    <x:row r="75">
      <x:c r="A75" s="12" t="str">
        <x:v>LL074</x:v>
      </x:c>
      <x:c r="B75" s="100" t="n">
        <x:v>46252.5</x:v>
      </x:c>
      <x:c r="C75" s="100" t="n">
        <x:v>46252.520833333336</x:v>
      </x:c>
      <x:c r="D75" s="102" t="n">
        <x:v>100000000</x:v>
      </x:c>
      <x:c r="E75" s="12" t="str">
        <x:v>Cọc thành công</x:v>
      </x:c>
      <x:c r="F75" s="100" t="n">
        <x:v>46252.510416666664</x:v>
      </x:c>
      <x:c r="G75" s="12" t="str">
        <x:v>Dữ liệu mô phỏng phục vụ báo cáo và thực hành SQL</x:v>
      </x:c>
      <x:c r="H75" s="14" t="str">
        <x:v>V2.0601</x:v>
      </x:c>
      <x:c r="I75" s="12" t="str">
        <x:v>NV011</x:v>
      </x:c>
    </x:row>
    <x:row r="76">
      <x:c r="A76" s="12" t="str">
        <x:v>LL075</x:v>
      </x:c>
      <x:c r="B76" s="100" t="n">
        <x:v>46258.5625</x:v>
      </x:c>
      <x:c r="C76" s="100" t="n">
        <x:v>46258.583333333336</x:v>
      </x:c>
      <x:c r="D76" s="102" t="n">
        <x:v>200000000</x:v>
      </x:c>
      <x:c r="E76" s="12" t="str">
        <x:v>Cọc thành công</x:v>
      </x:c>
      <x:c r="F76" s="100" t="n">
        <x:v>46258.57361111111</x:v>
      </x:c>
      <x:c r="G76" s="12" t="str">
        <x:v>Dữ liệu mô phỏng phục vụ báo cáo và thực hành SQL</x:v>
      </x:c>
      <x:c r="H76" s="14" t="str">
        <x:v>TT5-4</x:v>
      </x:c>
      <x:c r="I76" s="12" t="str">
        <x:v>NV012</x:v>
      </x:c>
    </x:row>
    <x:row r="77">
      <x:c r="A77" s="12" t="str">
        <x:v>LL076</x:v>
      </x:c>
      <x:c r="B77" s="100" t="n">
        <x:v>46261.59375</x:v>
      </x:c>
      <x:c r="C77" s="100" t="n">
        <x:v>46261.614583333336</x:v>
      </x:c>
      <x:c r="D77" s="102" t="n">
        <x:v>200000000</x:v>
      </x:c>
      <x:c r="E77" s="12" t="str">
        <x:v>Cọc thành công</x:v>
      </x:c>
      <x:c r="F77" s="100" t="n">
        <x:v>46261.60555555556</x:v>
      </x:c>
      <x:c r="G77" s="12" t="str">
        <x:v>Dữ liệu mô phỏng phục vụ báo cáo và thực hành SQL</x:v>
      </x:c>
      <x:c r="H77" s="14" t="str">
        <x:v>TT5-5</x:v>
      </x:c>
      <x:c r="I77" s="12" t="str">
        <x:v>NV013</x:v>
      </x:c>
    </x:row>
    <x:row r="78">
      <x:c r="B78" s="27"/>
      <x:c r="C78" s="27"/>
      <x:c r="D78" s="23"/>
      <x:c r="F78" s="27"/>
      <x:c r="H78" s="15"/>
    </x:row>
    <x:row r="79">
      <x:c r="B79" s="27"/>
      <x:c r="C79" s="27"/>
      <x:c r="D79" s="23"/>
      <x:c r="F79" s="27"/>
      <x:c r="H79" s="15"/>
    </x:row>
    <x:row r="80">
      <x:c r="B80" s="27"/>
      <x:c r="C80" s="27"/>
      <x:c r="D80" s="23"/>
      <x:c r="F80" s="27"/>
      <x:c r="H80" s="15"/>
    </x:row>
    <x:row r="81">
      <x:c r="B81" s="27"/>
      <x:c r="C81" s="27"/>
      <x:c r="D81" s="23"/>
      <x:c r="F81" s="27"/>
      <x:c r="H81" s="15"/>
    </x:row>
    <x:row r="82">
      <x:c r="B82" s="27"/>
      <x:c r="C82" s="27"/>
      <x:c r="D82" s="23"/>
      <x:c r="F82" s="27"/>
      <x:c r="H82" s="15"/>
    </x:row>
    <x:row r="83">
      <x:c r="B83" s="27"/>
      <x:c r="C83" s="27"/>
      <x:c r="D83" s="23"/>
      <x:c r="F83" s="27"/>
      <x:c r="H83" s="15"/>
    </x:row>
    <x:row r="84">
      <x:c r="B84" s="27"/>
      <x:c r="C84" s="27"/>
      <x:c r="D84" s="23"/>
      <x:c r="F84" s="27"/>
      <x:c r="H84" s="15"/>
    </x:row>
    <x:row r="85">
      <x:c r="B85" s="27"/>
      <x:c r="C85" s="27"/>
      <x:c r="D85" s="23"/>
      <x:c r="F85" s="27"/>
      <x:c r="H85" s="15"/>
    </x:row>
    <x:row r="86">
      <x:c r="B86" s="27"/>
      <x:c r="C86" s="27"/>
      <x:c r="D86" s="23"/>
      <x:c r="F86" s="27"/>
      <x:c r="H86" s="15"/>
    </x:row>
    <x:row r="87">
      <x:c r="B87" s="27"/>
      <x:c r="C87" s="27"/>
      <x:c r="D87" s="23"/>
      <x:c r="F87" s="27"/>
      <x:c r="H87" s="15"/>
    </x:row>
    <x:row r="88">
      <x:c r="B88" s="27"/>
      <x:c r="C88" s="27"/>
      <x:c r="D88" s="23"/>
      <x:c r="F88" s="27"/>
      <x:c r="H88" s="15"/>
    </x:row>
    <x:row r="89">
      <x:c r="B89" s="27"/>
      <x:c r="C89" s="27"/>
      <x:c r="D89" s="23"/>
      <x:c r="F89" s="27"/>
      <x:c r="H89" s="15"/>
    </x:row>
    <x:row r="90">
      <x:c r="B90" s="27"/>
      <x:c r="C90" s="27"/>
      <x:c r="D90" s="23"/>
      <x:c r="F90" s="27"/>
      <x:c r="H90" s="15"/>
    </x:row>
    <x:row r="91">
      <x:c r="B91" s="27"/>
      <x:c r="C91" s="27"/>
      <x:c r="D91" s="23"/>
      <x:c r="F91" s="27"/>
      <x:c r="H91" s="15"/>
    </x:row>
    <x:row r="92">
      <x:c r="B92" s="27"/>
      <x:c r="C92" s="27"/>
      <x:c r="D92" s="23"/>
      <x:c r="F92" s="27"/>
      <x:c r="H92" s="15"/>
    </x:row>
    <x:row r="93">
      <x:c r="B93" s="27"/>
      <x:c r="C93" s="27"/>
      <x:c r="D93" s="23"/>
      <x:c r="F93" s="27"/>
      <x:c r="H93" s="15"/>
    </x:row>
    <x:row r="94">
      <x:c r="B94" s="27"/>
      <x:c r="C94" s="27"/>
      <x:c r="D94" s="23"/>
      <x:c r="F94" s="27"/>
      <x:c r="H94" s="15"/>
    </x:row>
    <x:row r="95">
      <x:c r="B95" s="27"/>
      <x:c r="C95" s="27"/>
      <x:c r="D95" s="23"/>
      <x:c r="F95" s="27"/>
      <x:c r="H95" s="15"/>
    </x:row>
    <x:row r="96">
      <x:c r="B96" s="27"/>
      <x:c r="C96" s="27"/>
      <x:c r="D96" s="23"/>
      <x:c r="F96" s="27"/>
      <x:c r="H96" s="15"/>
    </x:row>
    <x:row r="97">
      <x:c r="B97" s="27"/>
      <x:c r="C97" s="27"/>
      <x:c r="D97" s="23"/>
      <x:c r="F97" s="27"/>
      <x:c r="H97" s="15"/>
    </x:row>
    <x:row r="98">
      <x:c r="B98" s="27"/>
      <x:c r="C98" s="27"/>
      <x:c r="D98" s="23"/>
      <x:c r="F98" s="27"/>
      <x:c r="H98" s="15"/>
    </x:row>
    <x:row r="99">
      <x:c r="B99" s="27"/>
      <x:c r="C99" s="27"/>
      <x:c r="D99" s="23"/>
      <x:c r="F99" s="27"/>
      <x:c r="H99" s="15"/>
    </x:row>
    <x:row r="100">
      <x:c r="B100" s="27"/>
      <x:c r="C100" s="27"/>
      <x:c r="D100" s="23"/>
      <x:c r="F100" s="27"/>
      <x:c r="H100" s="15"/>
    </x:row>
  </x:sheetData>
  <x:pageMargins left="0.7" right="0.7" top="0.75" bottom="0.75" header="0.3" footer="0.3"/>
  <x:tableParts count="1">
    <x:tablePart xmlns:r="http://schemas.openxmlformats.org/officeDocument/2006/relationships" r:id="R58addeec8ebe4d4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5" hidden="0" customWidth="1"/>
    <x:col min="4" max="4" width="15" hidden="0" customWidth="1"/>
    <x:col min="5" max="5" width="30" hidden="0" customWidth="1"/>
    <x:col min="6" max="6" width="23" hidden="0" customWidth="1"/>
    <x:col min="7" max="7" width="23" hidden="0" customWidth="1"/>
    <x:col min="8" max="8" width="20" hidden="0" customWidth="1"/>
    <x:col min="9" max="9" width="18" hidden="0" customWidth="1"/>
    <x:col min="10" max="10" width="18" hidden="0" customWidth="1"/>
    <x:col min="11" max="11" width="15" hidden="0" customWidth="1"/>
    <x:col min="12" max="12" width="18" hidden="0" customWidth="1"/>
    <x:col min="13" max="13" width="18" hidden="0" customWidth="1"/>
    <x:col min="14" max="14" width="22" hidden="0" customWidth="1"/>
    <x:col min="15" max="15" width="35" hidden="0" customWidth="1"/>
    <x:col min="16" max="16" width="16" hidden="0" customWidth="1"/>
    <x:col min="17" max="17" width="16" hidden="0" customWidth="1"/>
  </x:cols>
  <x:sheetData>
    <x:row r="1" ht="32" hidden="0" customHeight="1">
      <x:c r="A1" s="6" t="str">
        <x:v>MaHopDong</x:v>
      </x:c>
      <x:c r="B1" s="6" t="str">
        <x:v>MaKH</x:v>
      </x:c>
      <x:c r="C1" s="6" t="str">
        <x:v>SoDienThoaiKH</x:v>
      </x:c>
      <x:c r="D1" s="6" t="str">
        <x:v>CCCDKH</x:v>
      </x:c>
      <x:c r="E1" s="6" t="str">
        <x:v>EmailKH</x:v>
      </x:c>
      <x:c r="F1" s="6" t="str">
        <x:v>DiaChiKH</x:v>
      </x:c>
      <x:c r="G1" s="6" t="str">
        <x:v>HoTenKH</x:v>
      </x:c>
      <x:c r="H1" s="6" t="str">
        <x:v>PhuongThanhToan</x:v>
      </x:c>
      <x:c r="I1" s="6" t="str">
        <x:v>GiaHopDong</x:v>
      </x:c>
      <x:c r="J1" s="6" t="str">
        <x:v>ThoiGianKyHDMB</x:v>
      </x:c>
      <x:c r="K1" s="6" t="str">
        <x:v>TrangThaiHDMB</x:v>
      </x:c>
      <x:c r="L1" s="6" t="str">
        <x:v>DoanhSo</x:v>
      </x:c>
      <x:c r="M1" s="6" t="str">
        <x:v>HoaHong</x:v>
      </x:c>
      <x:c r="N1" s="6" t="str">
        <x:v>TrangThaiThanhToan</x:v>
      </x:c>
      <x:c r="O1" s="6" t="str">
        <x:v>GhiChu</x:v>
      </x:c>
      <x:c r="P1" s="6" t="str">
        <x:v>MaCan</x:v>
      </x:c>
      <x:c r="Q1" s="6" t="str">
        <x:v>MaNV</x:v>
      </x:c>
    </x:row>
    <x:row r="2" ht="15" hidden="0" customHeight="1">
      <x:c r="A2" s="14" t="str">
        <x:v>HĐV1.0515</x:v>
      </x:c>
      <x:c r="B2" s="14" t="str">
        <x:v>KH001</x:v>
      </x:c>
      <x:c r="C2" s="14" t="str">
        <x:v>0321634260</x:v>
      </x:c>
      <x:c r="D2" s="14" t="str">
        <x:v>036092836256</x:v>
      </x:c>
      <x:c r="E2" s="14" t="str">
        <x:v>nguyenvanhung01@gmail.com</x:v>
      </x:c>
      <x:c r="F2" s="14" t="str">
        <x:v>Cầu Giấy, Hà Nội</x:v>
      </x:c>
      <x:c r="G2" s="12" t="str">
        <x:v>Nguyễn Văn Hưng</x:v>
      </x:c>
      <x:c r="H2" s="12" t="str">
        <x:v>Thanh toán tiến độ</x:v>
      </x:c>
      <x:c r="I2" s="102" t="n">
        <x:v>8809218222</x:v>
      </x:c>
      <x:c r="J2" s="100" t="n">
        <x:v>46178.416666666664</x:v>
      </x:c>
      <x:c r="K2" s="12" t="str">
        <x:v>Đã ký</x:v>
      </x:c>
      <x:c r="L2" s="102" t="n">
        <x:v>8809218222</x:v>
      </x:c>
      <x:c r="M2" s="102" t="n">
        <x:v>88092182</x:v>
      </x:c>
      <x:c r="N2" s="12" t="str">
        <x:v>Đã thanh toán đợt 1</x:v>
      </x:c>
      <x:c r="O2" s="12" t="str">
        <x:v>Khách mua để ở, ưu tiên căn nhiều ánh sáng</x:v>
      </x:c>
      <x:c r="P2" s="14" t="str">
        <x:v>V1.0515</x:v>
      </x:c>
      <x:c r="Q2" s="14" t="str">
        <x:v>NV001</x:v>
      </x:c>
    </x:row>
    <x:row r="3" ht="15" hidden="0" customHeight="1">
      <x:c r="A3" s="14" t="str">
        <x:v>HĐV1.0620</x:v>
      </x:c>
      <x:c r="B3" s="14" t="str">
        <x:v>KH002</x:v>
      </x:c>
      <x:c r="C3" s="14" t="str">
        <x:v>0389867750</x:v>
      </x:c>
      <x:c r="D3" s="14" t="str">
        <x:v>002080555539</x:v>
      </x:c>
      <x:c r="E3" s="14" t="str">
        <x:v>tranngocmai02@gmail.com</x:v>
      </x:c>
      <x:c r="F3" s="14" t="str">
        <x:v>Thanh Xuân, Hà Nội</x:v>
      </x:c>
      <x:c r="G3" s="12" t="str">
        <x:v>Trần Ngọc Mai</x:v>
      </x:c>
      <x:c r="H3" s="12" t="str">
        <x:v>Thanh toán sớm</x:v>
      </x:c>
      <x:c r="I3" s="102" t="n">
        <x:v>7827376545</x:v>
      </x:c>
      <x:c r="J3" s="100" t="n">
        <x:v>46180.416666666664</x:v>
      </x:c>
      <x:c r="K3" s="12" t="str">
        <x:v>Đã ký</x:v>
      </x:c>
      <x:c r="L3" s="102" t="n">
        <x:v>7827376545</x:v>
      </x:c>
      <x:c r="M3" s="102" t="n">
        <x:v>78273765</x:v>
      </x:c>
      <x:c r="N3" s="12" t="str">
        <x:v>Đang thanh toán</x:v>
      </x:c>
      <x:c r="O3" s="12" t="str">
        <x:v>Khách đầu tư dài hạn, quan tâm tiềm năng tăng giá</x:v>
      </x:c>
      <x:c r="P3" s="14" t="str">
        <x:v>V1.0620</x:v>
      </x:c>
      <x:c r="Q3" s="14" t="str">
        <x:v>NV002</x:v>
      </x:c>
    </x:row>
    <x:row r="4" ht="15" hidden="0" customHeight="1">
      <x:c r="A4" s="14" t="str">
        <x:v>HĐV1.1401</x:v>
      </x:c>
      <x:c r="B4" s="14" t="str">
        <x:v>KH003</x:v>
      </x:c>
      <x:c r="C4" s="14" t="str">
        <x:v>0960896081</x:v>
      </x:c>
      <x:c r="D4" s="14" t="str">
        <x:v>030085582302</x:v>
      </x:c>
      <x:c r="E4" s="14" t="str">
        <x:v>leminhtuan03@gmail.com</x:v>
      </x:c>
      <x:c r="F4" s="14" t="str">
        <x:v>Nam Từ Liêm, Hà Nội</x:v>
      </x:c>
      <x:c r="G4" s="12" t="str">
        <x:v>Lê Minh Tuấn</x:v>
      </x:c>
      <x:c r="H4" s="12" t="str">
        <x:v>Vay HTLS</x:v>
      </x:c>
      <x:c r="I4" s="102" t="n">
        <x:v>8713247611</x:v>
      </x:c>
      <x:c r="J4" s="100" t="n">
        <x:v>46182.416666666664</x:v>
      </x:c>
      <x:c r="K4" s="12" t="str">
        <x:v>Đã ký</x:v>
      </x:c>
      <x:c r="L4" s="102" t="n">
        <x:v>8713247611</x:v>
      </x:c>
      <x:c r="M4" s="102" t="n">
        <x:v>87132476</x:v>
      </x:c>
      <x:c r="N4" s="12" t="str">
        <x:v>Hoàn tất</x:v>
      </x:c>
      <x:c r="O4" s="12" t="str">
        <x:v>Ưu tiên phương án thanh toán sớm</x:v>
      </x:c>
      <x:c r="P4" s="14" t="str">
        <x:v>V1.1401</x:v>
      </x:c>
      <x:c r="Q4" s="14" t="str">
        <x:v>NV003</x:v>
      </x:c>
    </x:row>
    <x:row r="5" ht="15" hidden="0" customHeight="1">
      <x:c r="A5" s="14" t="str">
        <x:v>HĐV1.1420</x:v>
      </x:c>
      <x:c r="B5" s="14" t="str">
        <x:v>KH004</x:v>
      </x:c>
      <x:c r="C5" s="14" t="str">
        <x:v>0389284281</x:v>
      </x:c>
      <x:c r="D5" s="14" t="str">
        <x:v>002086240941</x:v>
      </x:c>
      <x:c r="E5" s="14" t="str">
        <x:v>phamthutrang04@gmail.com</x:v>
      </x:c>
      <x:c r="F5" s="14" t="str">
        <x:v>Hà Đông, Hà Nội</x:v>
      </x:c>
      <x:c r="G5" s="12" t="str">
        <x:v>Phạm Thu Trang</x:v>
      </x:c>
      <x:c r="H5" s="12" t="str">
        <x:v>Thanh toán tiến độ</x:v>
      </x:c>
      <x:c r="I5" s="102" t="n">
        <x:v>8624336921</x:v>
      </x:c>
      <x:c r="J5" s="100" t="n">
        <x:v>46184.416666666664</x:v>
      </x:c>
      <x:c r="K5" s="12" t="str">
        <x:v>Đã ký</x:v>
      </x:c>
      <x:c r="L5" s="102" t="n">
        <x:v>8624336921</x:v>
      </x:c>
      <x:c r="M5" s="102" t="n">
        <x:v>86243369</x:v>
      </x:c>
      <x:c r="N5" s="12" t="str">
        <x:v>Đã thanh toán đợt 1</x:v>
      </x:c>
      <x:c r="O5" s="12" t="str">
        <x:v>Khách cần hỗ trợ vay ngân hàng</x:v>
      </x:c>
      <x:c r="P5" s="14" t="str">
        <x:v>V1.1420</x:v>
      </x:c>
      <x:c r="Q5" s="14" t="str">
        <x:v>NV004</x:v>
      </x:c>
    </x:row>
    <x:row r="6" ht="15" hidden="0" customHeight="1">
      <x:c r="A6" s="14" t="str">
        <x:v>HĐV1.1701</x:v>
      </x:c>
      <x:c r="B6" s="14" t="str">
        <x:v>KH005</x:v>
      </x:c>
      <x:c r="C6" s="14" t="str">
        <x:v>0865304512</x:v>
      </x:c>
      <x:c r="D6" s="14" t="str">
        <x:v>002190182728</x:v>
      </x:c>
      <x:c r="E6" s="14" t="str">
        <x:v>hoangduclong05@gmail.com</x:v>
      </x:c>
      <x:c r="F6" s="14" t="str">
        <x:v>Tây Hồ, Hà Nội</x:v>
      </x:c>
      <x:c r="G6" s="12" t="str">
        <x:v>Hoàng Đức Long</x:v>
      </x:c>
      <x:c r="H6" s="12" t="str">
        <x:v>Thanh toán sớm</x:v>
      </x:c>
      <x:c r="I6" s="102" t="n">
        <x:v>7896434727</x:v>
      </x:c>
      <x:c r="J6" s="100" t="n">
        <x:v>46186.416666666664</x:v>
      </x:c>
      <x:c r="K6" s="12" t="str">
        <x:v>Đã ký</x:v>
      </x:c>
      <x:c r="L6" s="102" t="n">
        <x:v>7896434727</x:v>
      </x:c>
      <x:c r="M6" s="102" t="n">
        <x:v>78964347</x:v>
      </x:c>
      <x:c r="N6" s="12" t="str">
        <x:v>Đang thanh toán</x:v>
      </x:c>
      <x:c r="O6" s="12" t="str">
        <x:v>Quan tâm căn tầng cao, view thoáng</x:v>
      </x:c>
      <x:c r="P6" s="14" t="str">
        <x:v>V1.1701</x:v>
      </x:c>
      <x:c r="Q6" s="14" t="str">
        <x:v>NV005</x:v>
      </x:c>
    </x:row>
    <x:row r="7" ht="15" hidden="0" customHeight="1">
      <x:c r="A7" s="14" t="str">
        <x:v>HĐV1.2512</x:v>
      </x:c>
      <x:c r="B7" s="14" t="str">
        <x:v>KH006</x:v>
      </x:c>
      <x:c r="C7" s="14" t="str">
        <x:v>0898745326</x:v>
      </x:c>
      <x:c r="D7" s="14" t="str">
        <x:v>025186168558</x:v>
      </x:c>
      <x:c r="E7" s="14" t="str">
        <x:v>dolananh06@gmail.com</x:v>
      </x:c>
      <x:c r="F7" s="14" t="str">
        <x:v>Ba Đình, Hà Nội</x:v>
      </x:c>
      <x:c r="G7" s="12" t="str">
        <x:v>Đỗ Lan Anh</x:v>
      </x:c>
      <x:c r="H7" s="12" t="str">
        <x:v>Vay HTLS</x:v>
      </x:c>
      <x:c r="I7" s="102" t="n">
        <x:v>9468455274</x:v>
      </x:c>
      <x:c r="J7" s="100" t="n">
        <x:v>46188.416666666664</x:v>
      </x:c>
      <x:c r="K7" s="12" t="str">
        <x:v>Đã ký</x:v>
      </x:c>
      <x:c r="L7" s="102" t="n">
        <x:v>9468455274</x:v>
      </x:c>
      <x:c r="M7" s="102" t="n">
        <x:v>94684553</x:v>
      </x:c>
      <x:c r="N7" s="12" t="str">
        <x:v>Hoàn tất</x:v>
      </x:c>
      <x:c r="O7" s="12" t="str">
        <x:v>Khách mua cho con, ưu tiên tiện ích nội khu</x:v>
      </x:c>
      <x:c r="P7" s="14" t="str">
        <x:v>V1.2512</x:v>
      </x:c>
      <x:c r="Q7" s="14" t="str">
        <x:v>NV006</x:v>
      </x:c>
    </x:row>
    <x:row r="8" ht="15" hidden="0" customHeight="1">
      <x:c r="A8" s="14" t="str">
        <x:v>HĐV2.0610</x:v>
      </x:c>
      <x:c r="B8" s="14" t="str">
        <x:v>KH007</x:v>
      </x:c>
      <x:c r="C8" s="14" t="str">
        <x:v>0398182466</x:v>
      </x:c>
      <x:c r="D8" s="14" t="str">
        <x:v>001192083728</x:v>
      </x:c>
      <x:c r="E8" s="14" t="str">
        <x:v>buianhdung07@gmail.com</x:v>
      </x:c>
      <x:c r="F8" s="14" t="str">
        <x:v>Hoàng Mai, Hà Nội</x:v>
      </x:c>
      <x:c r="G8" s="12" t="str">
        <x:v>Bùi Anh Dũng</x:v>
      </x:c>
      <x:c r="H8" s="12" t="str">
        <x:v>Thanh toán tiến độ</x:v>
      </x:c>
      <x:c r="I8" s="102" t="n">
        <x:v>5733517468</x:v>
      </x:c>
      <x:c r="J8" s="100" t="n">
        <x:v>46190.416666666664</x:v>
      </x:c>
      <x:c r="K8" s="12" t="str">
        <x:v>Đã ký</x:v>
      </x:c>
      <x:c r="L8" s="102" t="n">
        <x:v>5733517468</x:v>
      </x:c>
      <x:c r="M8" s="102" t="n">
        <x:v>57335175</x:v>
      </x:c>
      <x:c r="N8" s="12" t="str">
        <x:v>Đã thanh toán đợt 1</x:v>
      </x:c>
      <x:c r="O8" s="12" t="str">
        <x:v>Đã hoàn thiện hồ sơ giao dịch</x:v>
      </x:c>
      <x:c r="P8" s="14" t="str">
        <x:v>V2.0610</x:v>
      </x:c>
      <x:c r="Q8" s="14" t="str">
        <x:v>NV011</x:v>
      </x:c>
    </x:row>
    <x:row r="9" ht="15" hidden="0" customHeight="1">
      <x:c r="A9" s="14" t="str">
        <x:v>HĐV2.0708</x:v>
      </x:c>
      <x:c r="B9" s="14" t="str">
        <x:v>KH008</x:v>
      </x:c>
      <x:c r="C9" s="14" t="str">
        <x:v>0886439372</x:v>
      </x:c>
      <x:c r="D9" s="14" t="str">
        <x:v>027092700256</x:v>
      </x:c>
      <x:c r="E9" s="14" t="str">
        <x:v>vuthanhhuong08@gmail.com</x:v>
      </x:c>
      <x:c r="F9" s="14" t="str">
        <x:v>Long Biên, Hà Nội</x:v>
      </x:c>
      <x:c r="G9" s="12" t="str">
        <x:v>Vũ Thanh Hương</x:v>
      </x:c>
      <x:c r="H9" s="12" t="str">
        <x:v>Thanh toán sớm</x:v>
      </x:c>
      <x:c r="I9" s="102" t="n">
        <x:v>5781662437</x:v>
      </x:c>
      <x:c r="J9" s="100" t="n">
        <x:v>46192.416666666664</x:v>
      </x:c>
      <x:c r="K9" s="12" t="str">
        <x:v>Đã ký</x:v>
      </x:c>
      <x:c r="L9" s="102" t="n">
        <x:v>5781662437</x:v>
      </x:c>
      <x:c r="M9" s="102" t="n">
        <x:v>57816624</x:v>
      </x:c>
      <x:c r="N9" s="12" t="str">
        <x:v>Đang thanh toán</x:v>
      </x:c>
      <x:c r="O9" s="12" t="str">
        <x:v>Khách đầu tư cho thuê</x:v>
      </x:c>
      <x:c r="P9" s="14" t="str">
        <x:v>V2.0708</x:v>
      </x:c>
      <x:c r="Q9" s="14" t="str">
        <x:v>NV012</x:v>
      </x:c>
    </x:row>
    <x:row r="10" ht="15" hidden="0" customHeight="1">
      <x:c r="A10" s="14" t="str">
        <x:v>HĐTT4-18</x:v>
      </x:c>
      <x:c r="B10" s="14" t="str">
        <x:v>KH009</x:v>
      </x:c>
      <x:c r="C10" s="14" t="str">
        <x:v>0884870293</x:v>
      </x:c>
      <x:c r="D10" s="14" t="str">
        <x:v>011101326420</x:v>
      </x:c>
      <x:c r="E10" s="14" t="str">
        <x:v>dangquocviet09@gmail.com</x:v>
      </x:c>
      <x:c r="F10" s="14" t="str">
        <x:v>Đống Đa, Hà Nội</x:v>
      </x:c>
      <x:c r="G10" s="12" t="str">
        <x:v>Đặng Quốc Việt</x:v>
      </x:c>
      <x:c r="H10" s="12" t="str">
        <x:v>Vay HTLS</x:v>
      </x:c>
      <x:c r="I10" s="102" t="n">
        <x:v>23643914479</x:v>
      </x:c>
      <x:c r="J10" s="100" t="n">
        <x:v>46194.416666666664</x:v>
      </x:c>
      <x:c r="K10" s="12" t="str">
        <x:v>Đã ký</x:v>
      </x:c>
      <x:c r="L10" s="102" t="n">
        <x:v>23643914479</x:v>
      </x:c>
      <x:c r="M10" s="102" t="n">
        <x:v>236439145</x:v>
      </x:c>
      <x:c r="N10" s="12" t="str">
        <x:v>Hoàn tất</x:v>
      </x:c>
      <x:c r="O10" s="12" t="str">
        <x:v>Khách mua để ở, ưu tiên căn nhiều ánh sáng</x:v>
      </x:c>
      <x:c r="P10" s="14" t="str">
        <x:v>TT4-18</x:v>
      </x:c>
      <x:c r="Q10" s="14" t="str">
        <x:v>NV013</x:v>
      </x:c>
    </x:row>
    <x:row r="11" ht="15" hidden="0" customHeight="1">
      <x:c r="A11" s="14" t="str">
        <x:v>HĐTT4-19</x:v>
      </x:c>
      <x:c r="B11" s="14" t="str">
        <x:v>KH010</x:v>
      </x:c>
      <x:c r="C11" s="14" t="str">
        <x:v>0862377228</x:v>
      </x:c>
      <x:c r="D11" s="14" t="str">
        <x:v>004087116335</x:v>
      </x:c>
      <x:c r="E11" s="14" t="str">
        <x:v>phanminhchau10@gmail.com</x:v>
      </x:c>
      <x:c r="F11" s="14" t="str">
        <x:v>Hai Bà Trưng, Hà Nội</x:v>
      </x:c>
      <x:c r="G11" s="12" t="str">
        <x:v>Phan Minh Châu</x:v>
      </x:c>
      <x:c r="H11" s="12" t="str">
        <x:v>Thanh toán tiến độ</x:v>
      </x:c>
      <x:c r="I11" s="102" t="n">
        <x:v>23643914479</x:v>
      </x:c>
      <x:c r="J11" s="100" t="n">
        <x:v>46196.416666666664</x:v>
      </x:c>
      <x:c r="K11" s="12" t="str">
        <x:v>Đã ký</x:v>
      </x:c>
      <x:c r="L11" s="102" t="n">
        <x:v>23643914479</x:v>
      </x:c>
      <x:c r="M11" s="102" t="n">
        <x:v>236439145</x:v>
      </x:c>
      <x:c r="N11" s="12" t="str">
        <x:v>Đã thanh toán đợt 1</x:v>
      </x:c>
      <x:c r="O11" s="12" t="str">
        <x:v>Khách đầu tư dài hạn, quan tâm tiềm năng tăng giá</x:v>
      </x:c>
      <x:c r="P11" s="14" t="str">
        <x:v>TT4-19</x:v>
      </x:c>
      <x:c r="Q11" s="14" t="str">
        <x:v>NV001</x:v>
      </x:c>
    </x:row>
    <x:row r="12" ht="15" hidden="0" customHeight="1">
      <x:c r="A12" s="14" t="str">
        <x:v>HĐTT4-20</x:v>
      </x:c>
      <x:c r="B12" s="14" t="str">
        <x:v>KH011</x:v>
      </x:c>
      <x:c r="C12" s="14" t="str">
        <x:v>0960868977</x:v>
      </x:c>
      <x:c r="D12" s="14" t="str">
        <x:v>015082958516</x:v>
      </x:c>
      <x:c r="E12" s="14" t="str">
        <x:v>nguyenhoanganh11@gmail.com</x:v>
      </x:c>
      <x:c r="F12" s="14" t="str">
        <x:v>Bắc Từ Liêm, Hà Nội</x:v>
      </x:c>
      <x:c r="G12" s="12" t="str">
        <x:v>Nguyễn Hoàng Anh</x:v>
      </x:c>
      <x:c r="H12" s="12" t="str">
        <x:v>Thanh toán sớm</x:v>
      </x:c>
      <x:c r="I12" s="102" t="n">
        <x:v>23643914479</x:v>
      </x:c>
      <x:c r="J12" s="100" t="n">
        <x:v>46198.416666666664</x:v>
      </x:c>
      <x:c r="K12" s="12" t="str">
        <x:v>Đã ký</x:v>
      </x:c>
      <x:c r="L12" s="102" t="n">
        <x:v>23643914479</x:v>
      </x:c>
      <x:c r="M12" s="102" t="n">
        <x:v>236439145</x:v>
      </x:c>
      <x:c r="N12" s="12" t="str">
        <x:v>Đang thanh toán</x:v>
      </x:c>
      <x:c r="O12" s="12" t="str">
        <x:v>Ưu tiên phương án thanh toán sớm</x:v>
      </x:c>
      <x:c r="P12" s="14" t="str">
        <x:v>TT4-20</x:v>
      </x:c>
      <x:c r="Q12" s="14" t="str">
        <x:v>NV002</x:v>
      </x:c>
    </x:row>
    <x:row r="13" ht="15" hidden="0" customHeight="1">
      <x:c r="A13" s="14" t="str">
        <x:v>HĐTT4-21</x:v>
      </x:c>
      <x:c r="B13" s="14" t="str">
        <x:v>KH012</x:v>
      </x:c>
      <x:c r="C13" s="14" t="str">
        <x:v>0899156534</x:v>
      </x:c>
      <x:c r="D13" s="14" t="str">
        <x:v>026189112966</x:v>
      </x:c>
      <x:c r="E13" s="14" t="str">
        <x:v>tranthaonguyen12@gmail.com</x:v>
      </x:c>
      <x:c r="F13" s="14" t="str">
        <x:v>Gia Lâm, Hà Nội</x:v>
      </x:c>
      <x:c r="G13" s="12" t="str">
        <x:v>Trần Thảo Nguyên</x:v>
      </x:c>
      <x:c r="H13" s="12" t="str">
        <x:v>Vay HTLS</x:v>
      </x:c>
      <x:c r="I13" s="102" t="n">
        <x:v>23643914479</x:v>
      </x:c>
      <x:c r="J13" s="100" t="n">
        <x:v>46200.416666666664</x:v>
      </x:c>
      <x:c r="K13" s="12" t="str">
        <x:v>Đã ký</x:v>
      </x:c>
      <x:c r="L13" s="102" t="n">
        <x:v>23643914479</x:v>
      </x:c>
      <x:c r="M13" s="102" t="n">
        <x:v>236439145</x:v>
      </x:c>
      <x:c r="N13" s="12" t="str">
        <x:v>Hoàn tất</x:v>
      </x:c>
      <x:c r="O13" s="12" t="str">
        <x:v>Khách cần hỗ trợ vay ngân hàng</x:v>
      </x:c>
      <x:c r="P13" s="14" t="str">
        <x:v>TT4-21</x:v>
      </x:c>
      <x:c r="Q13" s="14" t="str">
        <x:v>NV003</x:v>
      </x:c>
    </x:row>
    <x:row r="14" ht="15" hidden="0" customHeight="1">
      <x:c r="A14" s="14" t="str">
        <x:v>HĐTT5-8</x:v>
      </x:c>
      <x:c r="B14" s="14" t="str">
        <x:v>KH013</x:v>
      </x:c>
      <x:c r="C14" s="14" t="str">
        <x:v>0881541215</x:v>
      </x:c>
      <x:c r="D14" s="14" t="str">
        <x:v>031189751277</x:v>
      </x:c>
      <x:c r="E14" s="14" t="str">
        <x:v>leducthanh13@gmail.com</x:v>
      </x:c>
      <x:c r="F14" s="14" t="str">
        <x:v>Cầu Giấy, Hà Nội</x:v>
      </x:c>
      <x:c r="G14" s="12" t="str">
        <x:v>Lê Đức Thành</x:v>
      </x:c>
      <x:c r="H14" s="12" t="str">
        <x:v>Thanh toán tiến độ</x:v>
      </x:c>
      <x:c r="I14" s="102" t="n">
        <x:v>23012435957</x:v>
      </x:c>
      <x:c r="J14" s="100" t="n">
        <x:v>46202.416666666664</x:v>
      </x:c>
      <x:c r="K14" s="12" t="str">
        <x:v>Đã ký</x:v>
      </x:c>
      <x:c r="L14" s="102" t="n">
        <x:v>23012435957</x:v>
      </x:c>
      <x:c r="M14" s="102" t="n">
        <x:v>230124360</x:v>
      </x:c>
      <x:c r="N14" s="12" t="str">
        <x:v>Đã thanh toán đợt 1</x:v>
      </x:c>
      <x:c r="O14" s="12" t="str">
        <x:v>Quan tâm căn tầng cao, view thoáng</x:v>
      </x:c>
      <x:c r="P14" s="14" t="str">
        <x:v>TT5-8</x:v>
      </x:c>
      <x:c r="Q14" s="14" t="str">
        <x:v>NV004</x:v>
      </x:c>
    </x:row>
    <x:row r="15" ht="15" hidden="0" customHeight="1">
      <x:c r="A15" s="14" t="str">
        <x:v>HĐTT5-9</x:v>
      </x:c>
      <x:c r="B15" s="14" t="str">
        <x:v>KH014</x:v>
      </x:c>
      <x:c r="C15" s="14" t="str">
        <x:v>0867303152</x:v>
      </x:c>
      <x:c r="D15" s="14" t="str">
        <x:v>004184298693</x:v>
      </x:c>
      <x:c r="E15" s="14" t="str">
        <x:v>phamquynhanh14@gmail.com</x:v>
      </x:c>
      <x:c r="F15" s="14" t="str">
        <x:v>Thanh Xuân, Hà Nội</x:v>
      </x:c>
      <x:c r="G15" s="12" t="str">
        <x:v>Phạm Quỳnh Anh</x:v>
      </x:c>
      <x:c r="H15" s="12" t="str">
        <x:v>Thanh toán sớm</x:v>
      </x:c>
      <x:c r="I15" s="102" t="n">
        <x:v>23012435957</x:v>
      </x:c>
      <x:c r="J15" s="100" t="n">
        <x:v>46204.416666666664</x:v>
      </x:c>
      <x:c r="K15" s="12" t="str">
        <x:v>Đã ký</x:v>
      </x:c>
      <x:c r="L15" s="102" t="n">
        <x:v>23012435957</x:v>
      </x:c>
      <x:c r="M15" s="102" t="n">
        <x:v>230124360</x:v>
      </x:c>
      <x:c r="N15" s="12" t="str">
        <x:v>Đang thanh toán</x:v>
      </x:c>
      <x:c r="O15" s="12" t="str">
        <x:v>Khách mua cho con, ưu tiên tiện ích nội khu</x:v>
      </x:c>
      <x:c r="P15" s="14" t="str">
        <x:v>TT5-9</x:v>
      </x:c>
      <x:c r="Q15" s="14" t="str">
        <x:v>NV005</x:v>
      </x:c>
    </x:row>
    <x:row r="16" ht="15" hidden="0" customHeight="1">
      <x:c r="A16" s="14" t="str">
        <x:v>HĐHH-B-17-18</x:v>
      </x:c>
      <x:c r="B16" s="14" t="str">
        <x:v>KH015</x:v>
      </x:c>
      <x:c r="C16" s="14" t="str">
        <x:v>0333726790</x:v>
      </x:c>
      <x:c r="D16" s="14" t="str">
        <x:v>020085470758</x:v>
      </x:c>
      <x:c r="E16" s="14" t="str">
        <x:v>hoangminhphuc15@gmail.com</x:v>
      </x:c>
      <x:c r="F16" s="14" t="str">
        <x:v>Nam Từ Liêm, Hà Nội</x:v>
      </x:c>
      <x:c r="G16" s="12" t="str">
        <x:v>Hoàng Minh Phúc</x:v>
      </x:c>
      <x:c r="H16" s="12" t="str">
        <x:v>Vay HTLS</x:v>
      </x:c>
      <x:c r="I16" s="102" t="n">
        <x:v>14590000000</x:v>
      </x:c>
      <x:c r="J16" s="100" t="n">
        <x:v>46206.416666666664</x:v>
      </x:c>
      <x:c r="K16" s="12" t="str">
        <x:v>Đã ký</x:v>
      </x:c>
      <x:c r="L16" s="102" t="n">
        <x:v>14590000000</x:v>
      </x:c>
      <x:c r="M16" s="102" t="n">
        <x:v>145900000</x:v>
      </x:c>
      <x:c r="N16" s="12" t="str">
        <x:v>Hoàn tất</x:v>
      </x:c>
      <x:c r="O16" s="12" t="str">
        <x:v>Đã hoàn thiện hồ sơ giao dịch</x:v>
      </x:c>
      <x:c r="P16" s="14" t="str">
        <x:v>HH-B-17-18</x:v>
      </x:c>
      <x:c r="Q16" s="14" t="str">
        <x:v>NV006</x:v>
      </x:c>
    </x:row>
    <x:row r="17" ht="15" hidden="0" customHeight="1">
      <x:c r="A17" s="14" t="str">
        <x:v>HĐC5L1-08-05A</x:v>
      </x:c>
      <x:c r="B17" s="14" t="str">
        <x:v>KH016</x:v>
      </x:c>
      <x:c r="C17" s="14" t="str">
        <x:v>0346022426</x:v>
      </x:c>
      <x:c r="D17" s="14" t="str">
        <x:v>030003137597</x:v>
      </x:c>
      <x:c r="E17" s="14" t="str">
        <x:v>dongocha16@gmail.com</x:v>
      </x:c>
      <x:c r="F17" s="14" t="str">
        <x:v>Hà Đông, Hà Nội</x:v>
      </x:c>
      <x:c r="G17" s="12" t="str">
        <x:v>Đỗ Ngọc Hà</x:v>
      </x:c>
      <x:c r="H17" s="12" t="str">
        <x:v>Thanh toán tiến độ</x:v>
      </x:c>
      <x:c r="I17" s="102" t="n">
        <x:v>4970000000</x:v>
      </x:c>
      <x:c r="J17" s="100" t="n">
        <x:v>46208.416666666664</x:v>
      </x:c>
      <x:c r="K17" s="12" t="str">
        <x:v>Đã ký</x:v>
      </x:c>
      <x:c r="L17" s="102" t="n">
        <x:v>4970000000</x:v>
      </x:c>
      <x:c r="M17" s="102" t="n">
        <x:v>49700000</x:v>
      </x:c>
      <x:c r="N17" s="12" t="str">
        <x:v>Đã thanh toán đợt 1</x:v>
      </x:c>
      <x:c r="O17" s="12" t="str">
        <x:v>Khách đầu tư cho thuê</x:v>
      </x:c>
      <x:c r="P17" s="14" t="str">
        <x:v>C5L1-08-05A</x:v>
      </x:c>
      <x:c r="Q17" s="14" t="str">
        <x:v>NV011</x:v>
      </x:c>
    </x:row>
    <x:row r="18" ht="15" hidden="0" customHeight="1">
      <x:c r="A18" s="14" t="str">
        <x:v>HĐC5L1-08-12A</x:v>
      </x:c>
      <x:c r="B18" s="14" t="str">
        <x:v>KH017</x:v>
      </x:c>
      <x:c r="C18" s="14" t="str">
        <x:v>0388075810</x:v>
      </x:c>
      <x:c r="D18" s="14" t="str">
        <x:v>001001761954</x:v>
      </x:c>
      <x:c r="E18" s="14" t="str">
        <x:v>buituankiet17@gmail.com</x:v>
      </x:c>
      <x:c r="F18" s="14" t="str">
        <x:v>Tây Hồ, Hà Nội</x:v>
      </x:c>
      <x:c r="G18" s="12" t="str">
        <x:v>Bùi Tuấn Kiệt</x:v>
      </x:c>
      <x:c r="H18" s="12" t="str">
        <x:v>Thanh toán sớm</x:v>
      </x:c>
      <x:c r="I18" s="102" t="n">
        <x:v>2708000000</x:v>
      </x:c>
      <x:c r="J18" s="100" t="n">
        <x:v>46210.416666666664</x:v>
      </x:c>
      <x:c r="K18" s="12" t="str">
        <x:v>Đã ký</x:v>
      </x:c>
      <x:c r="L18" s="102" t="n">
        <x:v>2708000000</x:v>
      </x:c>
      <x:c r="M18" s="102" t="n">
        <x:v>27080000</x:v>
      </x:c>
      <x:c r="N18" s="12" t="str">
        <x:v>Đang thanh toán</x:v>
      </x:c>
      <x:c r="O18" s="12" t="str">
        <x:v>Khách mua để ở, ưu tiên căn nhiều ánh sáng</x:v>
      </x:c>
      <x:c r="P18" s="14" t="str">
        <x:v>C5L1-08-12A</x:v>
      </x:c>
      <x:c r="Q18" s="14" t="str">
        <x:v>NV012</x:v>
      </x:c>
    </x:row>
    <x:row r="19" ht="15" hidden="0" customHeight="1">
      <x:c r="A19" s="14" t="str">
        <x:v>HĐC5Z1-05-12A</x:v>
      </x:c>
      <x:c r="B19" s="14" t="str">
        <x:v>KH018</x:v>
      </x:c>
      <x:c r="C19" s="14" t="str">
        <x:v>0970503538</x:v>
      </x:c>
      <x:c r="D19" s="14" t="str">
        <x:v>034099710082</x:v>
      </x:c>
      <x:c r="E19" s="14" t="str">
        <x:v>vukhanhvy18@gmail.com</x:v>
      </x:c>
      <x:c r="F19" s="14" t="str">
        <x:v>Ba Đình, Hà Nội</x:v>
      </x:c>
      <x:c r="G19" s="12" t="str">
        <x:v>Vũ Khánh Vy</x:v>
      </x:c>
      <x:c r="H19" s="12" t="str">
        <x:v>Vay HTLS</x:v>
      </x:c>
      <x:c r="I19" s="102" t="n">
        <x:v>3909000000</x:v>
      </x:c>
      <x:c r="J19" s="100" t="n">
        <x:v>46212.416666666664</x:v>
      </x:c>
      <x:c r="K19" s="12" t="str">
        <x:v>Đã ký</x:v>
      </x:c>
      <x:c r="L19" s="102" t="n">
        <x:v>3909000000</x:v>
      </x:c>
      <x:c r="M19" s="102" t="n">
        <x:v>39090000</x:v>
      </x:c>
      <x:c r="N19" s="12" t="str">
        <x:v>Hoàn tất</x:v>
      </x:c>
      <x:c r="O19" s="12" t="str">
        <x:v>Khách đầu tư dài hạn, quan tâm tiềm năng tăng giá</x:v>
      </x:c>
      <x:c r="P19" s="14" t="str">
        <x:v>C5Z1-05-12A</x:v>
      </x:c>
      <x:c r="Q19" s="14" t="str">
        <x:v>NV013</x:v>
      </x:c>
    </x:row>
    <x:row r="20" ht="15" hidden="0" customHeight="1">
      <x:c r="A20" s="14" t="str">
        <x:v>HĐC5Z1-05-18</x:v>
      </x:c>
      <x:c r="B20" s="14" t="str">
        <x:v>KH019</x:v>
      </x:c>
      <x:c r="C20" s="14" t="str">
        <x:v>0381685764</x:v>
      </x:c>
      <x:c r="D20" s="14" t="str">
        <x:v>030191691816</x:v>
      </x:c>
      <x:c r="E20" s="14" t="str">
        <x:v>danghuunam19@gmail.com</x:v>
      </x:c>
      <x:c r="F20" s="14" t="str">
        <x:v>Hoàng Mai, Hà Nội</x:v>
      </x:c>
      <x:c r="G20" s="12" t="str">
        <x:v>Đặng Hữu Nam</x:v>
      </x:c>
      <x:c r="H20" s="12" t="str">
        <x:v>Thanh toán tiến độ</x:v>
      </x:c>
      <x:c r="I20" s="102" t="n">
        <x:v>3298000000</x:v>
      </x:c>
      <x:c r="J20" s="100" t="n">
        <x:v>46214.416666666664</x:v>
      </x:c>
      <x:c r="K20" s="12" t="str">
        <x:v>Đã ký</x:v>
      </x:c>
      <x:c r="L20" s="102" t="n">
        <x:v>3298000000</x:v>
      </x:c>
      <x:c r="M20" s="102" t="n">
        <x:v>32980000</x:v>
      </x:c>
      <x:c r="N20" s="12" t="str">
        <x:v>Đã thanh toán đợt 1</x:v>
      </x:c>
      <x:c r="O20" s="12" t="str">
        <x:v>Ưu tiên phương án thanh toán sớm</x:v>
      </x:c>
      <x:c r="P20" s="14" t="str">
        <x:v>C5Z1-05-18</x:v>
      </x:c>
      <x:c r="Q20" s="14" t="str">
        <x:v>NV001</x:v>
      </x:c>
    </x:row>
    <x:row r="21" ht="15" hidden="0" customHeight="1">
      <x:c r="A21" s="14" t="str">
        <x:v>HĐC5Z3-08-05A</x:v>
      </x:c>
      <x:c r="B21" s="14" t="str">
        <x:v>KH020</x:v>
      </x:c>
      <x:c r="C21" s="14" t="str">
        <x:v>0982046961</x:v>
      </x:c>
      <x:c r="D21" s="14" t="str">
        <x:v>008187598470</x:v>
      </x:c>
      <x:c r="E21" s="14" t="str">
        <x:v>phanthuylinh20@gmail.com</x:v>
      </x:c>
      <x:c r="F21" s="14" t="str">
        <x:v>Long Biên, Hà Nội</x:v>
      </x:c>
      <x:c r="G21" s="12" t="str">
        <x:v>Phan Thuỳ Linh</x:v>
      </x:c>
      <x:c r="H21" s="12" t="str">
        <x:v>Thanh toán sớm</x:v>
      </x:c>
      <x:c r="I21" s="102" t="n">
        <x:v>4599000000</x:v>
      </x:c>
      <x:c r="J21" s="100" t="n">
        <x:v>46216.416666666664</x:v>
      </x:c>
      <x:c r="K21" s="12" t="str">
        <x:v>Đã ký</x:v>
      </x:c>
      <x:c r="L21" s="102" t="n">
        <x:v>4599000000</x:v>
      </x:c>
      <x:c r="M21" s="102" t="n">
        <x:v>45990000</x:v>
      </x:c>
      <x:c r="N21" s="12" t="str">
        <x:v>Đang thanh toán</x:v>
      </x:c>
      <x:c r="O21" s="12" t="str">
        <x:v>Khách cần hỗ trợ vay ngân hàng</x:v>
      </x:c>
      <x:c r="P21" s="14" t="str">
        <x:v>C5Z3-08-05A</x:v>
      </x:c>
      <x:c r="Q21" s="14" t="str">
        <x:v>NV002</x:v>
      </x:c>
    </x:row>
    <x:row r="22" ht="15" hidden="0" customHeight="1">
      <x:c r="A22" s="14" t="str">
        <x:v>HĐC5Z3-08-15A</x:v>
      </x:c>
      <x:c r="B22" s="14" t="str">
        <x:v>KH021</x:v>
      </x:c>
      <x:c r="C22" s="14" t="str">
        <x:v>0898192049</x:v>
      </x:c>
      <x:c r="D22" s="14" t="str">
        <x:v>022103013860</x:v>
      </x:c>
      <x:c r="E22" s="14" t="str">
        <x:v>nguyenducmanh21@gmail.com</x:v>
      </x:c>
      <x:c r="F22" s="14" t="str">
        <x:v>Đống Đa, Hà Nội</x:v>
      </x:c>
      <x:c r="G22" s="12" t="str">
        <x:v>Nguyễn Đức Mạnh</x:v>
      </x:c>
      <x:c r="H22" s="12" t="str">
        <x:v>Vay HTLS</x:v>
      </x:c>
      <x:c r="I22" s="102" t="n">
        <x:v>2330000000</x:v>
      </x:c>
      <x:c r="J22" s="100" t="n">
        <x:v>46218.416666666664</x:v>
      </x:c>
      <x:c r="K22" s="12" t="str">
        <x:v>Đã ký</x:v>
      </x:c>
      <x:c r="L22" s="102" t="n">
        <x:v>2330000000</x:v>
      </x:c>
      <x:c r="M22" s="102" t="n">
        <x:v>23300000</x:v>
      </x:c>
      <x:c r="N22" s="12" t="str">
        <x:v>Hoàn tất</x:v>
      </x:c>
      <x:c r="O22" s="12" t="str">
        <x:v>Quan tâm căn tầng cao, view thoáng</x:v>
      </x:c>
      <x:c r="P22" s="14" t="str">
        <x:v>C5Z3-08-15A</x:v>
      </x:c>
      <x:c r="Q22" s="14" t="str">
        <x:v>NV003</x:v>
      </x:c>
    </x:row>
    <x:row r="23" ht="15" hidden="0" customHeight="1">
      <x:c r="A23" s="14" t="str">
        <x:v>HĐC5Z3-08-03</x:v>
      </x:c>
      <x:c r="B23" s="14" t="str">
        <x:v>KH022</x:v>
      </x:c>
      <x:c r="C23" s="14" t="str">
        <x:v>0978638085</x:v>
      </x:c>
      <x:c r="D23" s="14" t="str">
        <x:v>036087161099</x:v>
      </x:c>
      <x:c r="E23" s="14" t="str">
        <x:v>tranmaianh22@gmail.com</x:v>
      </x:c>
      <x:c r="F23" s="14" t="str">
        <x:v>Hai Bà Trưng, Hà Nội</x:v>
      </x:c>
      <x:c r="G23" s="12" t="str">
        <x:v>Trần Mai Anh</x:v>
      </x:c>
      <x:c r="H23" s="12" t="str">
        <x:v>Thanh toán tiến độ</x:v>
      </x:c>
      <x:c r="I23" s="102" t="n">
        <x:v>2231000000</x:v>
      </x:c>
      <x:c r="J23" s="100" t="n">
        <x:v>46220.416666666664</x:v>
      </x:c>
      <x:c r="K23" s="12" t="str">
        <x:v>Đã ký</x:v>
      </x:c>
      <x:c r="L23" s="102" t="n">
        <x:v>2231000000</x:v>
      </x:c>
      <x:c r="M23" s="102" t="n">
        <x:v>22310000</x:v>
      </x:c>
      <x:c r="N23" s="12" t="str">
        <x:v>Đã thanh toán đợt 1</x:v>
      </x:c>
      <x:c r="O23" s="12" t="str">
        <x:v>Khách mua cho con, ưu tiên tiện ích nội khu</x:v>
      </x:c>
      <x:c r="P23" s="14" t="str">
        <x:v>C5Z3-08-03</x:v>
      </x:c>
      <x:c r="Q23" s="14" t="str">
        <x:v>NV004</x:v>
      </x:c>
    </x:row>
    <x:row r="24" ht="15" hidden="0" customHeight="1">
      <x:c r="A24" s="14" t="str">
        <x:v>HĐC5Z3-08-12A</x:v>
      </x:c>
      <x:c r="B24" s="14" t="str">
        <x:v>KH023</x:v>
      </x:c>
      <x:c r="C24" s="14" t="str">
        <x:v>0348408938</x:v>
      </x:c>
      <x:c r="D24" s="14" t="str">
        <x:v>030184640845</x:v>
      </x:c>
      <x:c r="E24" s="14" t="str">
        <x:v>lequochuy23@gmail.com</x:v>
      </x:c>
      <x:c r="F24" s="14" t="str">
        <x:v>Bắc Từ Liêm, Hà Nội</x:v>
      </x:c>
      <x:c r="G24" s="12" t="str">
        <x:v>Lê Quốc Huy</x:v>
      </x:c>
      <x:c r="H24" s="12" t="str">
        <x:v>Thanh toán sớm</x:v>
      </x:c>
      <x:c r="I24" s="102" t="n">
        <x:v>4622000000</x:v>
      </x:c>
      <x:c r="J24" s="100" t="n">
        <x:v>46222.416666666664</x:v>
      </x:c>
      <x:c r="K24" s="12" t="str">
        <x:v>Đã ký</x:v>
      </x:c>
      <x:c r="L24" s="102" t="n">
        <x:v>4622000000</x:v>
      </x:c>
      <x:c r="M24" s="102" t="n">
        <x:v>46220000</x:v>
      </x:c>
      <x:c r="N24" s="12" t="str">
        <x:v>Đang thanh toán</x:v>
      </x:c>
      <x:c r="O24" s="12" t="str">
        <x:v>Đã hoàn thiện hồ sơ giao dịch</x:v>
      </x:c>
      <x:c r="P24" s="14" t="str">
        <x:v>C5Z3-08-12A</x:v>
      </x:c>
      <x:c r="Q24" s="14" t="str">
        <x:v>NV005</x:v>
      </x:c>
    </x:row>
    <x:row r="25" ht="15" hidden="0" customHeight="1">
      <x:c r="A25" s="14" t="str">
        <x:v>HĐC5L3-10-21</x:v>
      </x:c>
      <x:c r="B25" s="14" t="str">
        <x:v>KH024</x:v>
      </x:c>
      <x:c r="C25" s="14" t="str">
        <x:v>0971530205</x:v>
      </x:c>
      <x:c r="D25" s="14" t="str">
        <x:v>002101831078</x:v>
      </x:c>
      <x:c r="E25" s="14" t="str">
        <x:v>phambaongoc24@gmail.com</x:v>
      </x:c>
      <x:c r="F25" s="14" t="str">
        <x:v>Gia Lâm, Hà Nội</x:v>
      </x:c>
      <x:c r="G25" s="12" t="str">
        <x:v>Phạm Bảo Ngọc</x:v>
      </x:c>
      <x:c r="H25" s="12" t="str">
        <x:v>Vay HTLS</x:v>
      </x:c>
      <x:c r="I25" s="102" t="n">
        <x:v>2763000000</x:v>
      </x:c>
      <x:c r="J25" s="100" t="n">
        <x:v>46224.416666666664</x:v>
      </x:c>
      <x:c r="K25" s="12" t="str">
        <x:v>Đã ký</x:v>
      </x:c>
      <x:c r="L25" s="102" t="n">
        <x:v>2763000000</x:v>
      </x:c>
      <x:c r="M25" s="102" t="n">
        <x:v>27630000</x:v>
      </x:c>
      <x:c r="N25" s="12" t="str">
        <x:v>Hoàn tất</x:v>
      </x:c>
      <x:c r="O25" s="12" t="str">
        <x:v>Khách đầu tư cho thuê</x:v>
      </x:c>
      <x:c r="P25" s="14" t="str">
        <x:v>C5L3-10-21</x:v>
      </x:c>
      <x:c r="Q25" s="14" t="str">
        <x:v>NV006</x:v>
      </x:c>
    </x:row>
    <x:row r="26">
      <x:c r="A26" s="12" t="str">
        <x:v>HĐV1.0506</x:v>
      </x:c>
      <x:c r="B26" s="12" t="str">
        <x:v>KH025</x:v>
      </x:c>
      <x:c r="C26" s="14" t="str">
        <x:v>0346704955</x:v>
      </x:c>
      <x:c r="D26" s="14" t="str">
        <x:v>010094702298</x:v>
      </x:c>
      <x:c r="E26" s="14" t="str">
        <x:v>vugiangan25@gmail.com</x:v>
      </x:c>
      <x:c r="F26" s="12" t="str">
        <x:v>Cầu Giấy, Hà Nội</x:v>
      </x:c>
      <x:c r="G26" s="12" t="str">
        <x:v>Vũ Gia Ngân</x:v>
      </x:c>
      <x:c r="H26" s="12" t="str">
        <x:v>Thanh toán tiến độ</x:v>
      </x:c>
      <x:c r="I26" s="102" t="n">
        <x:v>8242496989</x:v>
      </x:c>
      <x:c r="J26" s="100" t="n">
        <x:v>46027.385416666664</x:v>
      </x:c>
      <x:c r="K26" s="12" t="str">
        <x:v>Đã ký</x:v>
      </x:c>
      <x:c r="L26" s="102" t="n">
        <x:v>8242496989</x:v>
      </x:c>
      <x:c r="M26" s="102" t="n">
        <x:v>82424970</x:v>
      </x:c>
      <x:c r="N26" s="12" t="str">
        <x:v>Đã thanh toán đợt 1</x:v>
      </x:c>
      <x:c r="O26" s="12" t="str">
        <x:v>Khách mua để ở, ưu tiên căn nhiều ánh sáng</x:v>
      </x:c>
      <x:c r="P26" s="14" t="str">
        <x:v>V1.0506</x:v>
      </x:c>
      <x:c r="Q26" s="12" t="str">
        <x:v>NV001</x:v>
      </x:c>
    </x:row>
    <x:row r="27">
      <x:c r="A27" s="12" t="str">
        <x:v>HĐTT4-3</x:v>
      </x:c>
      <x:c r="B27" s="12" t="str">
        <x:v>KH026</x:v>
      </x:c>
      <x:c r="C27" s="14" t="str">
        <x:v>0895269505</x:v>
      </x:c>
      <x:c r="D27" s="14" t="str">
        <x:v>036196490218</x:v>
      </x:c>
      <x:c r="E27" s="14" t="str">
        <x:v>tranngocbinh26@gmail.com</x:v>
      </x:c>
      <x:c r="F27" s="12" t="str">
        <x:v>Thanh Xuân, Hà Nội</x:v>
      </x:c>
      <x:c r="G27" s="12" t="str">
        <x:v>Trần Ngọc Bình</x:v>
      </x:c>
      <x:c r="H27" s="12" t="str">
        <x:v>Thanh toán sớm</x:v>
      </x:c>
      <x:c r="I27" s="102" t="n">
        <x:v>29727979025</x:v>
      </x:c>
      <x:c r="J27" s="100" t="n">
        <x:v>46031.4375</x:v>
      </x:c>
      <x:c r="K27" s="12" t="str">
        <x:v>Đã ký</x:v>
      </x:c>
      <x:c r="L27" s="102" t="n">
        <x:v>29727979025</x:v>
      </x:c>
      <x:c r="M27" s="102" t="n">
        <x:v>297279790</x:v>
      </x:c>
      <x:c r="N27" s="12" t="str">
        <x:v>Đang thanh toán</x:v>
      </x:c>
      <x:c r="O27" s="12" t="str">
        <x:v>Khách đầu tư dài hạn, quan tâm tiềm năng tăng giá</x:v>
      </x:c>
      <x:c r="P27" s="14" t="str">
        <x:v>TT4-3</x:v>
      </x:c>
      <x:c r="Q27" s="12" t="str">
        <x:v>NV002</x:v>
      </x:c>
    </x:row>
    <x:row r="28">
      <x:c r="A28" s="12" t="str">
        <x:v>HĐTT4-4</x:v>
      </x:c>
      <x:c r="B28" s="12" t="str">
        <x:v>KH027</x:v>
      </x:c>
      <x:c r="C28" s="14" t="str">
        <x:v>0377347741</x:v>
      </x:c>
      <x:c r="D28" s="14" t="str">
        <x:v>019099349324</x:v>
      </x:c>
      <x:c r="E28" s="14" t="str">
        <x:v>vongochuong27@gmail.com</x:v>
      </x:c>
      <x:c r="F28" s="12" t="str">
        <x:v>Nam Từ Liêm, Hà Nội</x:v>
      </x:c>
      <x:c r="G28" s="12" t="str">
        <x:v>Võ Ngọc Hương</x:v>
      </x:c>
      <x:c r="H28" s="12" t="str">
        <x:v>Vay HTLS</x:v>
      </x:c>
      <x:c r="I28" s="102" t="n">
        <x:v>21795902589</x:v>
      </x:c>
      <x:c r="J28" s="100" t="n">
        <x:v>46035.458333333336</x:v>
      </x:c>
      <x:c r="K28" s="12" t="str">
        <x:v>Đã ký</x:v>
      </x:c>
      <x:c r="L28" s="102" t="n">
        <x:v>21795902589</x:v>
      </x:c>
      <x:c r="M28" s="102" t="n">
        <x:v>217959026</x:v>
      </x:c>
      <x:c r="N28" s="12" t="str">
        <x:v>Hoàn tất</x:v>
      </x:c>
      <x:c r="O28" s="12" t="str">
        <x:v>Khách cần hỗ trợ vay ngân hàng</x:v>
      </x:c>
      <x:c r="P28" s="14" t="str">
        <x:v>TT4-4</x:v>
      </x:c>
      <x:c r="Q28" s="12" t="str">
        <x:v>NV003</x:v>
      </x:c>
    </x:row>
    <x:row r="29">
      <x:c r="A29" s="12" t="str">
        <x:v>HĐV1.0520</x:v>
      </x:c>
      <x:c r="B29" s="12" t="str">
        <x:v>KH028</x:v>
      </x:c>
      <x:c r="C29" s="14" t="str">
        <x:v>0367051814</x:v>
      </x:c>
      <x:c r="D29" s="14" t="str">
        <x:v>011183606207</x:v>
      </x:c>
      <x:c r="E29" s="14" t="str">
        <x:v>nguyenductrang28@gmail.com</x:v>
      </x:c>
      <x:c r="F29" s="12" t="str">
        <x:v>Hà Đông, Hà Nội</x:v>
      </x:c>
      <x:c r="G29" s="12" t="str">
        <x:v>Nguyễn Đức Trang</x:v>
      </x:c>
      <x:c r="H29" s="12" t="str">
        <x:v>Thanh toán tiến độ</x:v>
      </x:c>
      <x:c r="I29" s="102" t="n">
        <x:v>8410711213</x:v>
      </x:c>
      <x:c r="J29" s="100" t="n">
        <x:v>46041.583333333336</x:v>
      </x:c>
      <x:c r="K29" s="12" t="str">
        <x:v>Đã ký</x:v>
      </x:c>
      <x:c r="L29" s="102" t="n">
        <x:v>8410711213</x:v>
      </x:c>
      <x:c r="M29" s="102" t="n">
        <x:v>84107112</x:v>
      </x:c>
      <x:c r="N29" s="12" t="str">
        <x:v>Đã thanh toán đợt 1</x:v>
      </x:c>
      <x:c r="O29" s="12" t="str">
        <x:v>Quan tâm căn tầng cao, view thoáng</x:v>
      </x:c>
      <x:c r="P29" s="14" t="str">
        <x:v>V1.0520</x:v>
      </x:c>
      <x:c r="Q29" s="12" t="str">
        <x:v>NV004</x:v>
      </x:c>
    </x:row>
    <x:row r="30">
      <x:c r="A30" s="12" t="str">
        <x:v>HĐTT4-5</x:v>
      </x:c>
      <x:c r="B30" s="12" t="str">
        <x:v>KH029</x:v>
      </x:c>
      <x:c r="C30" s="14" t="str">
        <x:v>0861576397</x:v>
      </x:c>
      <x:c r="D30" s="14" t="str">
        <x:v>030001443078</x:v>
      </x:c>
      <x:c r="E30" s="14" t="str">
        <x:v>phanminhphuc29@gmail.com</x:v>
      </x:c>
      <x:c r="F30" s="12" t="str">
        <x:v>Tây Hồ, Hà Nội</x:v>
      </x:c>
      <x:c r="G30" s="12" t="str">
        <x:v>Phan Minh Phúc</x:v>
      </x:c>
      <x:c r="H30" s="12" t="str">
        <x:v>Thanh toán sớm</x:v>
      </x:c>
      <x:c r="I30" s="102" t="n">
        <x:v>20706107460</x:v>
      </x:c>
      <x:c r="J30" s="100" t="n">
        <x:v>46045.645833333336</x:v>
      </x:c>
      <x:c r="K30" s="12" t="str">
        <x:v>Đã ký</x:v>
      </x:c>
      <x:c r="L30" s="102" t="n">
        <x:v>20706107460</x:v>
      </x:c>
      <x:c r="M30" s="102" t="n">
        <x:v>207061075</x:v>
      </x:c>
      <x:c r="N30" s="12" t="str">
        <x:v>Đang thanh toán</x:v>
      </x:c>
      <x:c r="O30" s="12" t="str">
        <x:v>Khách mua cho con, ưu tiên tiện ích nội khu</x:v>
      </x:c>
      <x:c r="P30" s="14" t="str">
        <x:v>TT4-5</x:v>
      </x:c>
      <x:c r="Q30" s="12" t="str">
        <x:v>NV005</x:v>
      </x:c>
    </x:row>
    <x:row r="31">
      <x:c r="A31" s="12" t="str">
        <x:v>HĐTT4-6</x:v>
      </x:c>
      <x:c r="B31" s="12" t="str">
        <x:v>KH030</x:v>
      </x:c>
      <x:c r="C31" s="14" t="str">
        <x:v>0968762143</x:v>
      </x:c>
      <x:c r="D31" s="14" t="str">
        <x:v>004100124498</x:v>
      </x:c>
      <x:c r="E31" s="14" t="str">
        <x:v>phanducha30@gmail.com</x:v>
      </x:c>
      <x:c r="F31" s="12" t="str">
        <x:v>Ba Đình, Hà Nội</x:v>
      </x:c>
      <x:c r="G31" s="12" t="str">
        <x:v>Phan Đức Hà</x:v>
      </x:c>
      <x:c r="H31" s="12" t="str">
        <x:v>Vay HTLS</x:v>
      </x:c>
      <x:c r="I31" s="102" t="n">
        <x:v>21795902589</x:v>
      </x:c>
      <x:c r="J31" s="100" t="n">
        <x:v>46049.677083333336</x:v>
      </x:c>
      <x:c r="K31" s="12" t="str">
        <x:v>Đã ký</x:v>
      </x:c>
      <x:c r="L31" s="102" t="n">
        <x:v>21795902589</x:v>
      </x:c>
      <x:c r="M31" s="102" t="n">
        <x:v>217959026</x:v>
      </x:c>
      <x:c r="N31" s="12" t="str">
        <x:v>Hoàn tất</x:v>
      </x:c>
      <x:c r="O31" s="12" t="str">
        <x:v>Khách đầu tư cho thuê</x:v>
      </x:c>
      <x:c r="P31" s="14" t="str">
        <x:v>TT4-6</x:v>
      </x:c>
      <x:c r="Q31" s="12" t="str">
        <x:v>NV006</x:v>
      </x:c>
    </x:row>
    <x:row r="32">
      <x:c r="A32" s="12" t="str">
        <x:v>HĐV1.0720</x:v>
      </x:c>
      <x:c r="B32" s="12" t="str">
        <x:v>KH031</x:v>
      </x:c>
      <x:c r="C32" s="14" t="str">
        <x:v>0341099462</x:v>
      </x:c>
      <x:c r="D32" s="14" t="str">
        <x:v>012080359316</x:v>
      </x:c>
      <x:c r="E32" s="14" t="str">
        <x:v>doducduong31@gmail.com</x:v>
      </x:c>
      <x:c r="F32" s="12" t="str">
        <x:v>Hoàng Mai, Hà Nội</x:v>
      </x:c>
      <x:c r="G32" s="12" t="str">
        <x:v>Đỗ Đức Dương</x:v>
      </x:c>
      <x:c r="H32" s="12" t="str">
        <x:v>Thanh toán tiến độ</x:v>
      </x:c>
      <x:c r="I32" s="102" t="n">
        <x:v>8461633784</x:v>
      </x:c>
      <x:c r="J32" s="100" t="n">
        <x:v>46058.385416666664</x:v>
      </x:c>
      <x:c r="K32" s="12" t="str">
        <x:v>Đã ký</x:v>
      </x:c>
      <x:c r="L32" s="102" t="n">
        <x:v>8461633784</x:v>
      </x:c>
      <x:c r="M32" s="102" t="n">
        <x:v>84616338</x:v>
      </x:c>
      <x:c r="N32" s="12" t="str">
        <x:v>Đã thanh toán đợt 1</x:v>
      </x:c>
      <x:c r="O32" s="12" t="str">
        <x:v>Khách mua để ở, ưu tiên căn nhiều ánh sáng</x:v>
      </x:c>
      <x:c r="P32" s="14" t="str">
        <x:v>V1.0720</x:v>
      </x:c>
      <x:c r="Q32" s="12" t="str">
        <x:v>NV011</x:v>
      </x:c>
    </x:row>
    <x:row r="33">
      <x:c r="A33" s="12" t="str">
        <x:v>HĐTT4-7</x:v>
      </x:c>
      <x:c r="B33" s="12" t="str">
        <x:v>KH032</x:v>
      </x:c>
      <x:c r="C33" s="14" t="str">
        <x:v>0398504109</x:v>
      </x:c>
      <x:c r="D33" s="14" t="str">
        <x:v>026184710970</x:v>
      </x:c>
      <x:c r="E33" s="14" t="str">
        <x:v>phanduckhoa32@gmail.com</x:v>
      </x:c>
      <x:c r="F33" s="12" t="str">
        <x:v>Long Biên, Hà Nội</x:v>
      </x:c>
      <x:c r="G33" s="12" t="str">
        <x:v>Phan Đức Khoa</x:v>
      </x:c>
      <x:c r="H33" s="12" t="str">
        <x:v>Thanh toán sớm</x:v>
      </x:c>
      <x:c r="I33" s="102" t="n">
        <x:v>20706107460</x:v>
      </x:c>
      <x:c r="J33" s="100" t="n">
        <x:v>46062.4375</x:v>
      </x:c>
      <x:c r="K33" s="12" t="str">
        <x:v>Đã ký</x:v>
      </x:c>
      <x:c r="L33" s="102" t="n">
        <x:v>20706107460</x:v>
      </x:c>
      <x:c r="M33" s="102" t="n">
        <x:v>207061075</x:v>
      </x:c>
      <x:c r="N33" s="12" t="str">
        <x:v>Đang thanh toán</x:v>
      </x:c>
      <x:c r="O33" s="12" t="str">
        <x:v>Khách đầu tư dài hạn, quan tâm tiềm năng tăng giá</x:v>
      </x:c>
      <x:c r="P33" s="14" t="str">
        <x:v>TT4-7</x:v>
      </x:c>
      <x:c r="Q33" s="12" t="str">
        <x:v>NV012</x:v>
      </x:c>
    </x:row>
    <x:row r="34">
      <x:c r="A34" s="12" t="str">
        <x:v>HĐTT4-8</x:v>
      </x:c>
      <x:c r="B34" s="12" t="str">
        <x:v>KH033</x:v>
      </x:c>
      <x:c r="C34" s="14" t="str">
        <x:v>0343424116</x:v>
      </x:c>
      <x:c r="D34" s="14" t="str">
        <x:v>001084865352</x:v>
      </x:c>
      <x:c r="E34" s="14" t="str">
        <x:v>dothanhvy33@gmail.com</x:v>
      </x:c>
      <x:c r="F34" s="12" t="str">
        <x:v>Đống Đa, Hà Nội</x:v>
      </x:c>
      <x:c r="G34" s="12" t="str">
        <x:v>Đỗ Thanh Vy</x:v>
      </x:c>
      <x:c r="H34" s="12" t="str">
        <x:v>Vay HTLS</x:v>
      </x:c>
      <x:c r="I34" s="102" t="n">
        <x:v>21795902589</x:v>
      </x:c>
      <x:c r="J34" s="100" t="n">
        <x:v>46066.458333333336</x:v>
      </x:c>
      <x:c r="K34" s="12" t="str">
        <x:v>Đã ký</x:v>
      </x:c>
      <x:c r="L34" s="102" t="n">
        <x:v>21795902589</x:v>
      </x:c>
      <x:c r="M34" s="102" t="n">
        <x:v>217959026</x:v>
      </x:c>
      <x:c r="N34" s="12" t="str">
        <x:v>Hoàn tất</x:v>
      </x:c>
      <x:c r="O34" s="12" t="str">
        <x:v>Khách cần hỗ trợ vay ngân hàng</x:v>
      </x:c>
      <x:c r="P34" s="14" t="str">
        <x:v>TT4-8</x:v>
      </x:c>
      <x:c r="Q34" s="12" t="str">
        <x:v>NV013</x:v>
      </x:c>
    </x:row>
    <x:row r="35">
      <x:c r="A35" s="12" t="str">
        <x:v>HĐV1.0806</x:v>
      </x:c>
      <x:c r="B35" s="12" t="str">
        <x:v>KH034</x:v>
      </x:c>
      <x:c r="C35" s="14" t="str">
        <x:v>0348975271</x:v>
      </x:c>
      <x:c r="D35" s="14" t="str">
        <x:v>014185198252</x:v>
      </x:c>
      <x:c r="E35" s="14" t="str">
        <x:v>nguyenngoclinh34@gmail.com</x:v>
      </x:c>
      <x:c r="F35" s="12" t="str">
        <x:v>Hai Bà Trưng, Hà Nội</x:v>
      </x:c>
      <x:c r="G35" s="12" t="str">
        <x:v>Nguyễn Ngọc Linh</x:v>
      </x:c>
      <x:c r="H35" s="12" t="str">
        <x:v>Thanh toán tiến độ</x:v>
      </x:c>
      <x:c r="I35" s="102" t="n">
        <x:v>8317353168</x:v>
      </x:c>
      <x:c r="J35" s="100" t="n">
        <x:v>46071.583333333336</x:v>
      </x:c>
      <x:c r="K35" s="12" t="str">
        <x:v>Đã ký</x:v>
      </x:c>
      <x:c r="L35" s="102" t="n">
        <x:v>8317353168</x:v>
      </x:c>
      <x:c r="M35" s="102" t="n">
        <x:v>83173532</x:v>
      </x:c>
      <x:c r="N35" s="12" t="str">
        <x:v>Đã thanh toán đợt 1</x:v>
      </x:c>
      <x:c r="O35" s="12" t="str">
        <x:v>Quan tâm căn tầng cao, view thoáng</x:v>
      </x:c>
      <x:c r="P35" s="14" t="str">
        <x:v>V1.0806</x:v>
      </x:c>
      <x:c r="Q35" s="12" t="str">
        <x:v>NV001</x:v>
      </x:c>
    </x:row>
    <x:row r="36">
      <x:c r="A36" s="12" t="str">
        <x:v>HĐTT4-9</x:v>
      </x:c>
      <x:c r="B36" s="12" t="str">
        <x:v>KH035</x:v>
      </x:c>
      <x:c r="C36" s="14" t="str">
        <x:v>0891125058</x:v>
      </x:c>
      <x:c r="D36" s="14" t="str">
        <x:v>019182647998</x:v>
      </x:c>
      <x:c r="E36" s="14" t="str">
        <x:v>vuducmai35@gmail.com</x:v>
      </x:c>
      <x:c r="F36" s="12" t="str">
        <x:v>Bắc Từ Liêm, Hà Nội</x:v>
      </x:c>
      <x:c r="G36" s="12" t="str">
        <x:v>Vũ Đức Mai</x:v>
      </x:c>
      <x:c r="H36" s="12" t="str">
        <x:v>Thanh toán sớm</x:v>
      </x:c>
      <x:c r="I36" s="102" t="n">
        <x:v>18501488007</x:v>
      </x:c>
      <x:c r="J36" s="100" t="n">
        <x:v>46076.645833333336</x:v>
      </x:c>
      <x:c r="K36" s="12" t="str">
        <x:v>Đã ký</x:v>
      </x:c>
      <x:c r="L36" s="102" t="n">
        <x:v>18501488007</x:v>
      </x:c>
      <x:c r="M36" s="102" t="n">
        <x:v>185014880</x:v>
      </x:c>
      <x:c r="N36" s="12" t="str">
        <x:v>Đang thanh toán</x:v>
      </x:c>
      <x:c r="O36" s="12" t="str">
        <x:v>Khách mua cho con, ưu tiên tiện ích nội khu</x:v>
      </x:c>
      <x:c r="P36" s="14" t="str">
        <x:v>TT4-9</x:v>
      </x:c>
      <x:c r="Q36" s="12" t="str">
        <x:v>NV002</x:v>
      </x:c>
    </x:row>
    <x:row r="37">
      <x:c r="A37" s="12" t="str">
        <x:v>HĐTT4-10</x:v>
      </x:c>
      <x:c r="B37" s="12" t="str">
        <x:v>KH036</x:v>
      </x:c>
      <x:c r="C37" s="14" t="str">
        <x:v>0975796926</x:v>
      </x:c>
      <x:c r="D37" s="14" t="str">
        <x:v>024193719521</x:v>
      </x:c>
      <x:c r="E37" s="14" t="str">
        <x:v>vuhaianh36@gmail.com</x:v>
      </x:c>
      <x:c r="F37" s="12" t="str">
        <x:v>Gia Lâm, Hà Nội</x:v>
      </x:c>
      <x:c r="G37" s="12" t="str">
        <x:v>Vũ Hải Anh</x:v>
      </x:c>
      <x:c r="H37" s="12" t="str">
        <x:v>Vay HTLS</x:v>
      </x:c>
      <x:c r="I37" s="102" t="n">
        <x:v>19475250533</x:v>
      </x:c>
      <x:c r="J37" s="100" t="n">
        <x:v>46080.677083333336</x:v>
      </x:c>
      <x:c r="K37" s="12" t="str">
        <x:v>Đã ký</x:v>
      </x:c>
      <x:c r="L37" s="102" t="n">
        <x:v>19475250533</x:v>
      </x:c>
      <x:c r="M37" s="102" t="n">
        <x:v>194752505</x:v>
      </x:c>
      <x:c r="N37" s="12" t="str">
        <x:v>Hoàn tất</x:v>
      </x:c>
      <x:c r="O37" s="12" t="str">
        <x:v>Khách đầu tư cho thuê</x:v>
      </x:c>
      <x:c r="P37" s="14" t="str">
        <x:v>TT4-10</x:v>
      </x:c>
      <x:c r="Q37" s="12" t="str">
        <x:v>NV003</x:v>
      </x:c>
    </x:row>
    <x:row r="38">
      <x:c r="A38" s="12" t="str">
        <x:v>HĐV1.12A06</x:v>
      </x:c>
      <x:c r="B38" s="12" t="str">
        <x:v>KH037</x:v>
      </x:c>
      <x:c r="C38" s="14" t="str">
        <x:v>0369994366</x:v>
      </x:c>
      <x:c r="D38" s="14" t="str">
        <x:v>030001555550</x:v>
      </x:c>
      <x:c r="E38" s="14" t="str">
        <x:v>vominhngan37@gmail.com</x:v>
      </x:c>
      <x:c r="F38" s="12" t="str">
        <x:v>Đông Anh, Hà Nội</x:v>
      </x:c>
      <x:c r="G38" s="12" t="str">
        <x:v>Võ Minh Ngân</x:v>
      </x:c>
      <x:c r="H38" s="12" t="str">
        <x:v>Thanh toán tiến độ</x:v>
      </x:c>
      <x:c r="I38" s="102" t="n">
        <x:v>8382597436</x:v>
      </x:c>
      <x:c r="J38" s="100" t="n">
        <x:v>46086.385416666664</x:v>
      </x:c>
      <x:c r="K38" s="12" t="str">
        <x:v>Đã ký</x:v>
      </x:c>
      <x:c r="L38" s="102" t="n">
        <x:v>8382597436</x:v>
      </x:c>
      <x:c r="M38" s="102" t="n">
        <x:v>83825974</x:v>
      </x:c>
      <x:c r="N38" s="12" t="str">
        <x:v>Đã thanh toán đợt 1</x:v>
      </x:c>
      <x:c r="O38" s="12" t="str">
        <x:v>Khách mua để ở, ưu tiên căn nhiều ánh sáng</x:v>
      </x:c>
      <x:c r="P38" s="14" t="str">
        <x:v>V1.12A06</x:v>
      </x:c>
      <x:c r="Q38" s="12" t="str">
        <x:v>NV004</x:v>
      </x:c>
    </x:row>
    <x:row r="39">
      <x:c r="A39" s="12" t="str">
        <x:v>HĐTT4-11</x:v>
      </x:c>
      <x:c r="B39" s="12" t="str">
        <x:v>KH038</x:v>
      </x:c>
      <x:c r="C39" s="14" t="str">
        <x:v>0322780316</x:v>
      </x:c>
      <x:c r="D39" s="14" t="str">
        <x:v>033198489448</x:v>
      </x:c>
      <x:c r="E39" s="14" t="str">
        <x:v>phanthuyduong38@gmail.com</x:v>
      </x:c>
      <x:c r="F39" s="12" t="str">
        <x:v>Hoài Đức, Hà Nội</x:v>
      </x:c>
      <x:c r="G39" s="12" t="str">
        <x:v>Phan Thùy Dương</x:v>
      </x:c>
      <x:c r="H39" s="12" t="str">
        <x:v>Thanh toán sớm</x:v>
      </x:c>
      <x:c r="I39" s="102" t="n">
        <x:v>18501488007</x:v>
      </x:c>
      <x:c r="J39" s="100" t="n">
        <x:v>46090.4375</x:v>
      </x:c>
      <x:c r="K39" s="12" t="str">
        <x:v>Đã ký</x:v>
      </x:c>
      <x:c r="L39" s="102" t="n">
        <x:v>18501488007</x:v>
      </x:c>
      <x:c r="M39" s="102" t="n">
        <x:v>185014880</x:v>
      </x:c>
      <x:c r="N39" s="12" t="str">
        <x:v>Đang thanh toán</x:v>
      </x:c>
      <x:c r="O39" s="12" t="str">
        <x:v>Khách đầu tư dài hạn, quan tâm tiềm năng tăng giá</x:v>
      </x:c>
      <x:c r="P39" s="14" t="str">
        <x:v>TT4-11</x:v>
      </x:c>
      <x:c r="Q39" s="12" t="str">
        <x:v>NV005</x:v>
      </x:c>
    </x:row>
    <x:row r="40">
      <x:c r="A40" s="12" t="str">
        <x:v>HĐTT4-12</x:v>
      </x:c>
      <x:c r="B40" s="12" t="str">
        <x:v>KH039</x:v>
      </x:c>
      <x:c r="C40" s="14" t="str">
        <x:v>0989789802</x:v>
      </x:c>
      <x:c r="D40" s="14" t="str">
        <x:v>022198410946</x:v>
      </x:c>
      <x:c r="E40" s="14" t="str">
        <x:v>dohaiduong39@gmail.com</x:v>
      </x:c>
      <x:c r="F40" s="12" t="str">
        <x:v>Thanh Trì, Hà Nội</x:v>
      </x:c>
      <x:c r="G40" s="12" t="str">
        <x:v>Đỗ Hải Dương</x:v>
      </x:c>
      <x:c r="H40" s="12" t="str">
        <x:v>Vay HTLS</x:v>
      </x:c>
      <x:c r="I40" s="102" t="n">
        <x:v>19475250533</x:v>
      </x:c>
      <x:c r="J40" s="100" t="n">
        <x:v>46094.458333333336</x:v>
      </x:c>
      <x:c r="K40" s="12" t="str">
        <x:v>Đã ký</x:v>
      </x:c>
      <x:c r="L40" s="102" t="n">
        <x:v>19475250533</x:v>
      </x:c>
      <x:c r="M40" s="102" t="n">
        <x:v>194752505</x:v>
      </x:c>
      <x:c r="N40" s="12" t="str">
        <x:v>Hoàn tất</x:v>
      </x:c>
      <x:c r="O40" s="12" t="str">
        <x:v>Khách cần hỗ trợ vay ngân hàng</x:v>
      </x:c>
      <x:c r="P40" s="14" t="str">
        <x:v>TT4-12</x:v>
      </x:c>
      <x:c r="Q40" s="12" t="str">
        <x:v>NV006</x:v>
      </x:c>
    </x:row>
    <x:row r="41">
      <x:c r="A41" s="12" t="str">
        <x:v>HĐV1.1406</x:v>
      </x:c>
      <x:c r="B41" s="12" t="str">
        <x:v>KH040</x:v>
      </x:c>
      <x:c r="C41" s="14" t="str">
        <x:v>0342217414</x:v>
      </x:c>
      <x:c r="D41" s="14" t="str">
        <x:v>027183720102</x:v>
      </x:c>
      <x:c r="E41" s="14" t="str">
        <x:v>nguyenhaivy40@gmail.com</x:v>
      </x:c>
      <x:c r="F41" s="12" t="str">
        <x:v>Cầu Giấy, Hà Nội</x:v>
      </x:c>
      <x:c r="G41" s="12" t="str">
        <x:v>Nguyễn Hải Vy</x:v>
      </x:c>
      <x:c r="H41" s="12" t="str">
        <x:v>Thanh toán tiến độ</x:v>
      </x:c>
      <x:c r="I41" s="102" t="n">
        <x:v>8451850182</x:v>
      </x:c>
      <x:c r="J41" s="100" t="n">
        <x:v>46099.583333333336</x:v>
      </x:c>
      <x:c r="K41" s="12" t="str">
        <x:v>Đã ký</x:v>
      </x:c>
      <x:c r="L41" s="102" t="n">
        <x:v>8451850182</x:v>
      </x:c>
      <x:c r="M41" s="102" t="n">
        <x:v>84518502</x:v>
      </x:c>
      <x:c r="N41" s="12" t="str">
        <x:v>Đã thanh toán đợt 1</x:v>
      </x:c>
      <x:c r="O41" s="12" t="str">
        <x:v>Quan tâm căn tầng cao, view thoáng</x:v>
      </x:c>
      <x:c r="P41" s="14" t="str">
        <x:v>V1.1406</x:v>
      </x:c>
      <x:c r="Q41" s="12" t="str">
        <x:v>NV011</x:v>
      </x:c>
    </x:row>
    <x:row r="42">
      <x:c r="A42" s="12" t="str">
        <x:v>HĐTT4-13</x:v>
      </x:c>
      <x:c r="B42" s="12" t="str">
        <x:v>KH041</x:v>
      </x:c>
      <x:c r="C42" s="14" t="str">
        <x:v>0337816189</x:v>
      </x:c>
      <x:c r="D42" s="14" t="str">
        <x:v>006000975044</x:v>
      </x:c>
      <x:c r="E42" s="14" t="str">
        <x:v>trankhanhlong41@gmail.com</x:v>
      </x:c>
      <x:c r="F42" s="12" t="str">
        <x:v>Thanh Xuân, Hà Nội</x:v>
      </x:c>
      <x:c r="G42" s="12" t="str">
        <x:v>Trần Khánh Long</x:v>
      </x:c>
      <x:c r="H42" s="12" t="str">
        <x:v>Thanh toán sớm</x:v>
      </x:c>
      <x:c r="I42" s="102" t="n">
        <x:v>18501488007</x:v>
      </x:c>
      <x:c r="J42" s="100" t="n">
        <x:v>46104.645833333336</x:v>
      </x:c>
      <x:c r="K42" s="12" t="str">
        <x:v>Đã ký</x:v>
      </x:c>
      <x:c r="L42" s="102" t="n">
        <x:v>18501488007</x:v>
      </x:c>
      <x:c r="M42" s="102" t="n">
        <x:v>185014880</x:v>
      </x:c>
      <x:c r="N42" s="12" t="str">
        <x:v>Đang thanh toán</x:v>
      </x:c>
      <x:c r="O42" s="12" t="str">
        <x:v>Khách mua cho con, ưu tiên tiện ích nội khu</x:v>
      </x:c>
      <x:c r="P42" s="14" t="str">
        <x:v>TT4-13</x:v>
      </x:c>
      <x:c r="Q42" s="12" t="str">
        <x:v>NV012</x:v>
      </x:c>
    </x:row>
    <x:row r="43">
      <x:c r="A43" s="12" t="str">
        <x:v>HĐTT4-14</x:v>
      </x:c>
      <x:c r="B43" s="12" t="str">
        <x:v>KH042</x:v>
      </x:c>
      <x:c r="C43" s="14" t="str">
        <x:v>0892020611</x:v>
      </x:c>
      <x:c r="D43" s="14" t="str">
        <x:v>014185848794</x:v>
      </x:c>
      <x:c r="E43" s="14" t="str">
        <x:v>hoanganhmai42@gmail.com</x:v>
      </x:c>
      <x:c r="F43" s="12" t="str">
        <x:v>Nam Từ Liêm, Hà Nội</x:v>
      </x:c>
      <x:c r="G43" s="12" t="str">
        <x:v>Hoàng Anh Mai</x:v>
      </x:c>
      <x:c r="H43" s="12" t="str">
        <x:v>Vay HTLS</x:v>
      </x:c>
      <x:c r="I43" s="102" t="n">
        <x:v>27853960110</x:v>
      </x:c>
      <x:c r="J43" s="100" t="n">
        <x:v>46108.677083333336</x:v>
      </x:c>
      <x:c r="K43" s="12" t="str">
        <x:v>Đã ký</x:v>
      </x:c>
      <x:c r="L43" s="102" t="n">
        <x:v>27853960110</x:v>
      </x:c>
      <x:c r="M43" s="102" t="n">
        <x:v>278539601</x:v>
      </x:c>
      <x:c r="N43" s="12" t="str">
        <x:v>Hoàn tất</x:v>
      </x:c>
      <x:c r="O43" s="12" t="str">
        <x:v>Khách đầu tư cho thuê</x:v>
      </x:c>
      <x:c r="P43" s="14" t="str">
        <x:v>TT4-14</x:v>
      </x:c>
      <x:c r="Q43" s="12" t="str">
        <x:v>NV013</x:v>
      </x:c>
    </x:row>
    <x:row r="44">
      <x:c r="A44" s="12" t="str">
        <x:v>HĐV1.1706</x:v>
      </x:c>
      <x:c r="B44" s="12" t="str">
        <x:v>KH043</x:v>
      </x:c>
      <x:c r="C44" s="14" t="str">
        <x:v>0886236052</x:v>
      </x:c>
      <x:c r="D44" s="14" t="str">
        <x:v>033099058983</x:v>
      </x:c>
      <x:c r="E44" s="14" t="str">
        <x:v>tranducha43@gmail.com</x:v>
      </x:c>
      <x:c r="F44" s="12" t="str">
        <x:v>Hà Đông, Hà Nội</x:v>
      </x:c>
      <x:c r="G44" s="12" t="str">
        <x:v>Trần Đức Hà</x:v>
      </x:c>
      <x:c r="H44" s="12" t="str">
        <x:v>Thanh toán tiến độ</x:v>
      </x:c>
      <x:c r="I44" s="102" t="n">
        <x:v>8510601872</x:v>
      </x:c>
      <x:c r="J44" s="100" t="n">
        <x:v>46118.385416666664</x:v>
      </x:c>
      <x:c r="K44" s="12" t="str">
        <x:v>Đã ký</x:v>
      </x:c>
      <x:c r="L44" s="102" t="n">
        <x:v>8510601872</x:v>
      </x:c>
      <x:c r="M44" s="102" t="n">
        <x:v>85106019</x:v>
      </x:c>
      <x:c r="N44" s="12" t="str">
        <x:v>Đã thanh toán đợt 1</x:v>
      </x:c>
      <x:c r="O44" s="12" t="str">
        <x:v>Khách mua để ở, ưu tiên căn nhiều ánh sáng</x:v>
      </x:c>
      <x:c r="P44" s="14" t="str">
        <x:v>V1.1706</x:v>
      </x:c>
      <x:c r="Q44" s="12" t="str">
        <x:v>NV001</x:v>
      </x:c>
    </x:row>
    <x:row r="45">
      <x:c r="A45" s="12" t="str">
        <x:v>HĐTT4-17</x:v>
      </x:c>
      <x:c r="B45" s="12" t="str">
        <x:v>KH044</x:v>
      </x:c>
      <x:c r="C45" s="14" t="str">
        <x:v>0970958052</x:v>
      </x:c>
      <x:c r="D45" s="14" t="str">
        <x:v>022094298750</x:v>
      </x:c>
      <x:c r="E45" s="14" t="str">
        <x:v>dokhanhchi44@gmail.com</x:v>
      </x:c>
      <x:c r="F45" s="12" t="str">
        <x:v>Tây Hồ, Hà Nội</x:v>
      </x:c>
      <x:c r="G45" s="12" t="str">
        <x:v>Đỗ Khánh Chi</x:v>
      </x:c>
      <x:c r="H45" s="12" t="str">
        <x:v>Thanh toán sớm</x:v>
      </x:c>
      <x:c r="I45" s="102" t="n">
        <x:v>31991616202</x:v>
      </x:c>
      <x:c r="J45" s="100" t="n">
        <x:v>46121.4375</x:v>
      </x:c>
      <x:c r="K45" s="12" t="str">
        <x:v>Đã ký</x:v>
      </x:c>
      <x:c r="L45" s="102" t="n">
        <x:v>31991616202</x:v>
      </x:c>
      <x:c r="M45" s="102" t="n">
        <x:v>319916162</x:v>
      </x:c>
      <x:c r="N45" s="12" t="str">
        <x:v>Đang thanh toán</x:v>
      </x:c>
      <x:c r="O45" s="12" t="str">
        <x:v>Khách đầu tư dài hạn, quan tâm tiềm năng tăng giá</x:v>
      </x:c>
      <x:c r="P45" s="14" t="str">
        <x:v>TT4-17</x:v>
      </x:c>
      <x:c r="Q45" s="12" t="str">
        <x:v>NV002</x:v>
      </x:c>
    </x:row>
    <x:row r="46">
      <x:c r="A46" s="12" t="str">
        <x:v>HĐTT4-22</x:v>
      </x:c>
      <x:c r="B46" s="12" t="str">
        <x:v>KH045</x:v>
      </x:c>
      <x:c r="C46" s="14" t="str">
        <x:v>0394422365</x:v>
      </x:c>
      <x:c r="D46" s="14" t="str">
        <x:v>036084121423</x:v>
      </x:c>
      <x:c r="E46" s="14" t="str">
        <x:v>tranthanhanh45@gmail.com</x:v>
      </x:c>
      <x:c r="F46" s="12" t="str">
        <x:v>Ba Đình, Hà Nội</x:v>
      </x:c>
      <x:c r="G46" s="12" t="str">
        <x:v>Trần Thanh Anh</x:v>
      </x:c>
      <x:c r="H46" s="12" t="str">
        <x:v>Vay HTLS</x:v>
      </x:c>
      <x:c r="I46" s="102" t="n">
        <x:v>22985667900</x:v>
      </x:c>
      <x:c r="J46" s="100" t="n">
        <x:v>46125.458333333336</x:v>
      </x:c>
      <x:c r="K46" s="12" t="str">
        <x:v>Đã ký</x:v>
      </x:c>
      <x:c r="L46" s="102" t="n">
        <x:v>22985667900</x:v>
      </x:c>
      <x:c r="M46" s="102" t="n">
        <x:v>229856679</x:v>
      </x:c>
      <x:c r="N46" s="12" t="str">
        <x:v>Hoàn tất</x:v>
      </x:c>
      <x:c r="O46" s="12" t="str">
        <x:v>Khách cần hỗ trợ vay ngân hàng</x:v>
      </x:c>
      <x:c r="P46" s="14" t="str">
        <x:v>TT4-22</x:v>
      </x:c>
      <x:c r="Q46" s="12" t="str">
        <x:v>NV003</x:v>
      </x:c>
    </x:row>
    <x:row r="47">
      <x:c r="A47" s="12" t="str">
        <x:v>HĐV1.2406</x:v>
      </x:c>
      <x:c r="B47" s="12" t="str">
        <x:v>KH046</x:v>
      </x:c>
      <x:c r="C47" s="14" t="str">
        <x:v>0899284162</x:v>
      </x:c>
      <x:c r="D47" s="14" t="str">
        <x:v>006099003670</x:v>
      </x:c>
      <x:c r="E47" s="14" t="str">
        <x:v>hoangthuyngan46@gmail.com</x:v>
      </x:c>
      <x:c r="F47" s="12" t="str">
        <x:v>Hoàng Mai, Hà Nội</x:v>
      </x:c>
      <x:c r="G47" s="12" t="str">
        <x:v>Hoàng Thùy Ngân</x:v>
      </x:c>
      <x:c r="H47" s="12" t="str">
        <x:v>Thanh toán tiến độ</x:v>
      </x:c>
      <x:c r="I47" s="102" t="n">
        <x:v>8510601872</x:v>
      </x:c>
      <x:c r="J47" s="100" t="n">
        <x:v>46130.583333333336</x:v>
      </x:c>
      <x:c r="K47" s="12" t="str">
        <x:v>Đã ký</x:v>
      </x:c>
      <x:c r="L47" s="102" t="n">
        <x:v>8510601872</x:v>
      </x:c>
      <x:c r="M47" s="102" t="n">
        <x:v>85106019</x:v>
      </x:c>
      <x:c r="N47" s="12" t="str">
        <x:v>Đã thanh toán đợt 1</x:v>
      </x:c>
      <x:c r="O47" s="12" t="str">
        <x:v>Quan tâm căn tầng cao, view thoáng</x:v>
      </x:c>
      <x:c r="P47" s="14" t="str">
        <x:v>V1.2406</x:v>
      </x:c>
      <x:c r="Q47" s="12" t="str">
        <x:v>NV004</x:v>
      </x:c>
    </x:row>
    <x:row r="48">
      <x:c r="A48" s="12" t="str">
        <x:v>HĐTT4-23</x:v>
      </x:c>
      <x:c r="B48" s="12" t="str">
        <x:v>KH047</x:v>
      </x:c>
      <x:c r="C48" s="14" t="str">
        <x:v>0341700754</x:v>
      </x:c>
      <x:c r="D48" s="14" t="str">
        <x:v>011081982688</x:v>
      </x:c>
      <x:c r="E48" s="14" t="str">
        <x:v>voanhhuong47@gmail.com</x:v>
      </x:c>
      <x:c r="F48" s="12" t="str">
        <x:v>Long Biên, Hà Nội</x:v>
      </x:c>
      <x:c r="G48" s="12" t="str">
        <x:v>Võ Anh Hương</x:v>
      </x:c>
      <x:c r="H48" s="12" t="str">
        <x:v>Thanh toán sớm</x:v>
      </x:c>
      <x:c r="I48" s="102" t="n">
        <x:v>21836384505</x:v>
      </x:c>
      <x:c r="J48" s="100" t="n">
        <x:v>46135.645833333336</x:v>
      </x:c>
      <x:c r="K48" s="12" t="str">
        <x:v>Đã ký</x:v>
      </x:c>
      <x:c r="L48" s="102" t="n">
        <x:v>21836384505</x:v>
      </x:c>
      <x:c r="M48" s="102" t="n">
        <x:v>218363845</x:v>
      </x:c>
      <x:c r="N48" s="12" t="str">
        <x:v>Đang thanh toán</x:v>
      </x:c>
      <x:c r="O48" s="12" t="str">
        <x:v>Khách mua cho con, ưu tiên tiện ích nội khu</x:v>
      </x:c>
      <x:c r="P48" s="14" t="str">
        <x:v>TT4-23</x:v>
      </x:c>
      <x:c r="Q48" s="12" t="str">
        <x:v>NV005</x:v>
      </x:c>
    </x:row>
    <x:row r="49">
      <x:c r="A49" s="12" t="str">
        <x:v>HĐTT4-24</x:v>
      </x:c>
      <x:c r="B49" s="12" t="str">
        <x:v>KH048</x:v>
      </x:c>
      <x:c r="C49" s="14" t="str">
        <x:v>0977830345</x:v>
      </x:c>
      <x:c r="D49" s="14" t="str">
        <x:v>017183796506</x:v>
      </x:c>
      <x:c r="E49" s="14" t="str">
        <x:v>phanquangmai48@gmail.com</x:v>
      </x:c>
      <x:c r="F49" s="12" t="str">
        <x:v>Đống Đa, Hà Nội</x:v>
      </x:c>
      <x:c r="G49" s="12" t="str">
        <x:v>Phan Quang Mai</x:v>
      </x:c>
      <x:c r="H49" s="12" t="str">
        <x:v>Vay HTLS</x:v>
      </x:c>
      <x:c r="I49" s="102" t="n">
        <x:v>22985667900</x:v>
      </x:c>
      <x:c r="J49" s="100" t="n">
        <x:v>46139.677083333336</x:v>
      </x:c>
      <x:c r="K49" s="12" t="str">
        <x:v>Đã ký</x:v>
      </x:c>
      <x:c r="L49" s="102" t="n">
        <x:v>22985667900</x:v>
      </x:c>
      <x:c r="M49" s="102" t="n">
        <x:v>229856679</x:v>
      </x:c>
      <x:c r="N49" s="12" t="str">
        <x:v>Hoàn tất</x:v>
      </x:c>
      <x:c r="O49" s="12" t="str">
        <x:v>Khách đầu tư cho thuê</x:v>
      </x:c>
      <x:c r="P49" s="14" t="str">
        <x:v>TT4-24</x:v>
      </x:c>
      <x:c r="Q49" s="12" t="str">
        <x:v>NV006</x:v>
      </x:c>
    </x:row>
    <x:row r="50">
      <x:c r="A50" s="12" t="str">
        <x:v>HĐV1.2301</x:v>
      </x:c>
      <x:c r="B50" s="12" t="str">
        <x:v>KH049</x:v>
      </x:c>
      <x:c r="C50" s="14" t="str">
        <x:v>0381673112</x:v>
      </x:c>
      <x:c r="D50" s="14" t="str">
        <x:v>024183154995</x:v>
      </x:c>
      <x:c r="E50" s="14" t="str">
        <x:v>vukhanhduong49@gmail.com</x:v>
      </x:c>
      <x:c r="F50" s="12" t="str">
        <x:v>Hai Bà Trưng, Hà Nội</x:v>
      </x:c>
      <x:c r="G50" s="12" t="str">
        <x:v>Vũ Khánh Dương</x:v>
      </x:c>
      <x:c r="H50" s="12" t="str">
        <x:v>Thanh toán tiến độ</x:v>
      </x:c>
      <x:c r="I50" s="102" t="n">
        <x:v>8527388069</x:v>
      </x:c>
      <x:c r="J50" s="100" t="n">
        <x:v>46147.385416666664</x:v>
      </x:c>
      <x:c r="K50" s="12" t="str">
        <x:v>Đã ký</x:v>
      </x:c>
      <x:c r="L50" s="102" t="n">
        <x:v>8527388069</x:v>
      </x:c>
      <x:c r="M50" s="102" t="n">
        <x:v>85273881</x:v>
      </x:c>
      <x:c r="N50" s="12" t="str">
        <x:v>Đã thanh toán đợt 1</x:v>
      </x:c>
      <x:c r="O50" s="12" t="str">
        <x:v>Khách mua để ở, ưu tiên căn nhiều ánh sáng</x:v>
      </x:c>
      <x:c r="P50" s="14" t="str">
        <x:v>V1.2301</x:v>
      </x:c>
      <x:c r="Q50" s="12" t="str">
        <x:v>NV011</x:v>
      </x:c>
    </x:row>
    <x:row r="51">
      <x:c r="A51" s="12" t="str">
        <x:v>HĐTT4-25</x:v>
      </x:c>
      <x:c r="B51" s="12" t="str">
        <x:v>KH050</x:v>
      </x:c>
      <x:c r="C51" s="14" t="str">
        <x:v>0352410254</x:v>
      </x:c>
      <x:c r="D51" s="14" t="str">
        <x:v>022182373328</x:v>
      </x:c>
      <x:c r="E51" s="14" t="str">
        <x:v>phamanhnam50@gmail.com</x:v>
      </x:c>
      <x:c r="F51" s="12" t="str">
        <x:v>Bắc Từ Liêm, Hà Nội</x:v>
      </x:c>
      <x:c r="G51" s="12" t="str">
        <x:v>Phạm Anh Nam</x:v>
      </x:c>
      <x:c r="H51" s="12" t="str">
        <x:v>Thanh toán sớm</x:v>
      </x:c>
      <x:c r="I51" s="102" t="n">
        <x:v>21836384505</x:v>
      </x:c>
      <x:c r="J51" s="100" t="n">
        <x:v>46151.4375</x:v>
      </x:c>
      <x:c r="K51" s="12" t="str">
        <x:v>Đã ký</x:v>
      </x:c>
      <x:c r="L51" s="102" t="n">
        <x:v>21836384505</x:v>
      </x:c>
      <x:c r="M51" s="102" t="n">
        <x:v>218363845</x:v>
      </x:c>
      <x:c r="N51" s="12" t="str">
        <x:v>Đang thanh toán</x:v>
      </x:c>
      <x:c r="O51" s="12" t="str">
        <x:v>Khách đầu tư dài hạn, quan tâm tiềm năng tăng giá</x:v>
      </x:c>
      <x:c r="P51" s="14" t="str">
        <x:v>TT4-25</x:v>
      </x:c>
      <x:c r="Q51" s="12" t="str">
        <x:v>NV012</x:v>
      </x:c>
    </x:row>
    <x:row r="52">
      <x:c r="A52" s="12" t="str">
        <x:v>HĐTT4-26</x:v>
      </x:c>
      <x:c r="B52" s="12" t="str">
        <x:v>KH051</x:v>
      </x:c>
      <x:c r="C52" s="14" t="str">
        <x:v>0862461773</x:v>
      </x:c>
      <x:c r="D52" s="14" t="str">
        <x:v>015095139117</x:v>
      </x:c>
      <x:c r="E52" s="14" t="str">
        <x:v>vuquangnam51@gmail.com</x:v>
      </x:c>
      <x:c r="F52" s="12" t="str">
        <x:v>Gia Lâm, Hà Nội</x:v>
      </x:c>
      <x:c r="G52" s="12" t="str">
        <x:v>Vũ Quang Nam</x:v>
      </x:c>
      <x:c r="H52" s="12" t="str">
        <x:v>Vay HTLS</x:v>
      </x:c>
      <x:c r="I52" s="102" t="n">
        <x:v>22985667900</x:v>
      </x:c>
      <x:c r="J52" s="100" t="n">
        <x:v>46155.458333333336</x:v>
      </x:c>
      <x:c r="K52" s="12" t="str">
        <x:v>Đã ký</x:v>
      </x:c>
      <x:c r="L52" s="102" t="n">
        <x:v>22985667900</x:v>
      </x:c>
      <x:c r="M52" s="102" t="n">
        <x:v>229856679</x:v>
      </x:c>
      <x:c r="N52" s="12" t="str">
        <x:v>Hoàn tất</x:v>
      </x:c>
      <x:c r="O52" s="12" t="str">
        <x:v>Khách cần hỗ trợ vay ngân hàng</x:v>
      </x:c>
      <x:c r="P52" s="14" t="str">
        <x:v>TT4-26</x:v>
      </x:c>
      <x:c r="Q52" s="12" t="str">
        <x:v>NV013</x:v>
      </x:c>
    </x:row>
    <x:row r="53">
      <x:c r="A53" s="12" t="str">
        <x:v>HĐV2.0504</x:v>
      </x:c>
      <x:c r="B53" s="12" t="str">
        <x:v>KH052</x:v>
      </x:c>
      <x:c r="C53" s="14" t="str">
        <x:v>0325763614</x:v>
      </x:c>
      <x:c r="D53" s="14" t="str">
        <x:v>004084040047</x:v>
      </x:c>
      <x:c r="E53" s="14" t="str">
        <x:v>phamkhanhnam52@gmail.com</x:v>
      </x:c>
      <x:c r="F53" s="12" t="str">
        <x:v>Đông Anh, Hà Nội</x:v>
      </x:c>
      <x:c r="G53" s="12" t="str">
        <x:v>Phạm Khánh Nam</x:v>
      </x:c>
      <x:c r="H53" s="12" t="str">
        <x:v>Thanh toán tiến độ</x:v>
      </x:c>
      <x:c r="I53" s="102" t="n">
        <x:v>6250178614</x:v>
      </x:c>
      <x:c r="J53" s="100" t="n">
        <x:v>46160.583333333336</x:v>
      </x:c>
      <x:c r="K53" s="12" t="str">
        <x:v>Đã ký</x:v>
      </x:c>
      <x:c r="L53" s="102" t="n">
        <x:v>6250178614</x:v>
      </x:c>
      <x:c r="M53" s="102" t="n">
        <x:v>62501786</x:v>
      </x:c>
      <x:c r="N53" s="12" t="str">
        <x:v>Đã thanh toán đợt 1</x:v>
      </x:c>
      <x:c r="O53" s="12" t="str">
        <x:v>Quan tâm căn tầng cao, view thoáng</x:v>
      </x:c>
      <x:c r="P53" s="14" t="str">
        <x:v>V2.0504</x:v>
      </x:c>
      <x:c r="Q53" s="12" t="str">
        <x:v>NV001</x:v>
      </x:c>
    </x:row>
    <x:row r="54">
      <x:c r="A54" s="12" t="str">
        <x:v>HĐTT4-27</x:v>
      </x:c>
      <x:c r="B54" s="12" t="str">
        <x:v>KH053</x:v>
      </x:c>
      <x:c r="C54" s="14" t="str">
        <x:v>0883598042</x:v>
      </x:c>
      <x:c r="D54" s="14" t="str">
        <x:v>022184330999</x:v>
      </x:c>
      <x:c r="E54" s="14" t="str">
        <x:v>vukhanhhuy53@gmail.com</x:v>
      </x:c>
      <x:c r="F54" s="12" t="str">
        <x:v>Hoài Đức, Hà Nội</x:v>
      </x:c>
      <x:c r="G54" s="12" t="str">
        <x:v>Vũ Khánh Huy</x:v>
      </x:c>
      <x:c r="H54" s="12" t="str">
        <x:v>Thanh toán sớm</x:v>
      </x:c>
      <x:c r="I54" s="102" t="n">
        <x:v>21836384505</x:v>
      </x:c>
      <x:c r="J54" s="100" t="n">
        <x:v>46165.645833333336</x:v>
      </x:c>
      <x:c r="K54" s="12" t="str">
        <x:v>Đã ký</x:v>
      </x:c>
      <x:c r="L54" s="102" t="n">
        <x:v>21836384505</x:v>
      </x:c>
      <x:c r="M54" s="102" t="n">
        <x:v>218363845</x:v>
      </x:c>
      <x:c r="N54" s="12" t="str">
        <x:v>Đang thanh toán</x:v>
      </x:c>
      <x:c r="O54" s="12" t="str">
        <x:v>Khách mua cho con, ưu tiên tiện ích nội khu</x:v>
      </x:c>
      <x:c r="P54" s="14" t="str">
        <x:v>TT4-27</x:v>
      </x:c>
      <x:c r="Q54" s="12" t="str">
        <x:v>NV002</x:v>
      </x:c>
    </x:row>
    <x:row r="55">
      <x:c r="A55" s="12" t="str">
        <x:v>HĐTT4-28</x:v>
      </x:c>
      <x:c r="B55" s="12" t="str">
        <x:v>KH054</x:v>
      </x:c>
      <x:c r="C55" s="14" t="str">
        <x:v>0862442952</x:v>
      </x:c>
      <x:c r="D55" s="14" t="str">
        <x:v>026097887317</x:v>
      </x:c>
      <x:c r="E55" s="14" t="str">
        <x:v>nguyenhaibinh54@gmail.com</x:v>
      </x:c>
      <x:c r="F55" s="12" t="str">
        <x:v>Thanh Trì, Hà Nội</x:v>
      </x:c>
      <x:c r="G55" s="12" t="str">
        <x:v>Nguyễn Hải Bình</x:v>
      </x:c>
      <x:c r="H55" s="12" t="str">
        <x:v>Vay HTLS</x:v>
      </x:c>
      <x:c r="I55" s="102" t="n">
        <x:v>33055556147</x:v>
      </x:c>
      <x:c r="J55" s="100" t="n">
        <x:v>46169.677083333336</x:v>
      </x:c>
      <x:c r="K55" s="12" t="str">
        <x:v>Đã ký</x:v>
      </x:c>
      <x:c r="L55" s="102" t="n">
        <x:v>33055556147</x:v>
      </x:c>
      <x:c r="M55" s="102" t="n">
        <x:v>330555561</x:v>
      </x:c>
      <x:c r="N55" s="12" t="str">
        <x:v>Hoàn tất</x:v>
      </x:c>
      <x:c r="O55" s="12" t="str">
        <x:v>Khách đầu tư cho thuê</x:v>
      </x:c>
      <x:c r="P55" s="14" t="str">
        <x:v>TT4-28</x:v>
      </x:c>
      <x:c r="Q55" s="12" t="str">
        <x:v>NV003</x:v>
      </x:c>
    </x:row>
    <x:row r="56">
      <x:c r="A56" s="12" t="str">
        <x:v>HĐV2.0505</x:v>
      </x:c>
      <x:c r="B56" s="12" t="str">
        <x:v>KH055</x:v>
      </x:c>
      <x:c r="C56" s="14" t="str">
        <x:v>0888563481</x:v>
      </x:c>
      <x:c r="D56" s="14" t="str">
        <x:v>001192266834</x:v>
      </x:c>
      <x:c r="E56" s="14" t="str">
        <x:v>dohoaiha55@gmail.com</x:v>
      </x:c>
      <x:c r="F56" s="12" t="str">
        <x:v>Cầu Giấy, Hà Nội</x:v>
      </x:c>
      <x:c r="G56" s="12" t="str">
        <x:v>Đỗ Hoài Hà</x:v>
      </x:c>
      <x:c r="H56" s="12" t="str">
        <x:v>Thanh toán tiến độ</x:v>
      </x:c>
      <x:c r="I56" s="102" t="n">
        <x:v>6307824280</x:v>
      </x:c>
      <x:c r="J56" s="100" t="n">
        <x:v>46239.385416666664</x:v>
      </x:c>
      <x:c r="K56" s="12" t="str">
        <x:v>Đã ký</x:v>
      </x:c>
      <x:c r="L56" s="102" t="n">
        <x:v>6307824280</x:v>
      </x:c>
      <x:c r="M56" s="102" t="n">
        <x:v>63078243</x:v>
      </x:c>
      <x:c r="N56" s="12" t="str">
        <x:v>Đã thanh toán đợt 1</x:v>
      </x:c>
      <x:c r="O56" s="12" t="str">
        <x:v>Khách mua để ở, ưu tiên căn nhiều ánh sáng</x:v>
      </x:c>
      <x:c r="P56" s="14" t="str">
        <x:v>V2.0505</x:v>
      </x:c>
      <x:c r="Q56" s="12" t="str">
        <x:v>NV004</x:v>
      </x:c>
    </x:row>
    <x:row r="57">
      <x:c r="A57" s="12" t="str">
        <x:v>HĐTT5-2</x:v>
      </x:c>
      <x:c r="B57" s="12" t="str">
        <x:v>KH056</x:v>
      </x:c>
      <x:c r="C57" s="14" t="str">
        <x:v>0882662131</x:v>
      </x:c>
      <x:c r="D57" s="14" t="str">
        <x:v>019195385735</x:v>
      </x:c>
      <x:c r="E57" s="14" t="str">
        <x:v>tranthunam56@gmail.com</x:v>
      </x:c>
      <x:c r="F57" s="12" t="str">
        <x:v>Thanh Xuân, Hà Nội</x:v>
      </x:c>
      <x:c r="G57" s="12" t="str">
        <x:v>Trần Thu Nam</x:v>
      </x:c>
      <x:c r="H57" s="12" t="str">
        <x:v>Thanh toán sớm</x:v>
      </x:c>
      <x:c r="I57" s="102" t="n">
        <x:v>30538105205</x:v>
      </x:c>
      <x:c r="J57" s="100" t="n">
        <x:v>46244.4375</x:v>
      </x:c>
      <x:c r="K57" s="12" t="str">
        <x:v>Đã ký</x:v>
      </x:c>
      <x:c r="L57" s="102" t="n">
        <x:v>30538105205</x:v>
      </x:c>
      <x:c r="M57" s="102" t="n">
        <x:v>305381052</x:v>
      </x:c>
      <x:c r="N57" s="12" t="str">
        <x:v>Đang thanh toán</x:v>
      </x:c>
      <x:c r="O57" s="12" t="str">
        <x:v>Khách đầu tư dài hạn, quan tâm tiềm năng tăng giá</x:v>
      </x:c>
      <x:c r="P57" s="14" t="str">
        <x:v>TT5-2</x:v>
      </x:c>
      <x:c r="Q57" s="12" t="str">
        <x:v>NV005</x:v>
      </x:c>
    </x:row>
    <x:row r="58">
      <x:c r="A58" s="12" t="str">
        <x:v>HĐTT5-3</x:v>
      </x:c>
      <x:c r="B58" s="12" t="str">
        <x:v>KH057</x:v>
      </x:c>
      <x:c r="C58" s="14" t="str">
        <x:v>0887243836</x:v>
      </x:c>
      <x:c r="D58" s="14" t="str">
        <x:v>035095584464</x:v>
      </x:c>
      <x:c r="E58" s="14" t="str">
        <x:v>tranquangha57@gmail.com</x:v>
      </x:c>
      <x:c r="F58" s="12" t="str">
        <x:v>Nam Từ Liêm, Hà Nội</x:v>
      </x:c>
      <x:c r="G58" s="12" t="str">
        <x:v>Trần Quang Hà</x:v>
      </x:c>
      <x:c r="H58" s="12" t="str">
        <x:v>Vay HTLS</x:v>
      </x:c>
      <x:c r="I58" s="102" t="n">
        <x:v>22371769740</x:v>
      </x:c>
      <x:c r="J58" s="100" t="n">
        <x:v>46247.458333333336</x:v>
      </x:c>
      <x:c r="K58" s="12" t="str">
        <x:v>Đã ký</x:v>
      </x:c>
      <x:c r="L58" s="102" t="n">
        <x:v>22371769740</x:v>
      </x:c>
      <x:c r="M58" s="102" t="n">
        <x:v>223717697</x:v>
      </x:c>
      <x:c r="N58" s="12" t="str">
        <x:v>Hoàn tất</x:v>
      </x:c>
      <x:c r="O58" s="12" t="str">
        <x:v>Khách cần hỗ trợ vay ngân hàng</x:v>
      </x:c>
      <x:c r="P58" s="14" t="str">
        <x:v>TT5-3</x:v>
      </x:c>
      <x:c r="Q58" s="12" t="str">
        <x:v>NV006</x:v>
      </x:c>
    </x:row>
    <x:row r="59">
      <x:c r="A59" s="12" t="str">
        <x:v>HĐV2.0601</x:v>
      </x:c>
      <x:c r="B59" s="12" t="str">
        <x:v>KH058</x:v>
      </x:c>
      <x:c r="C59" s="14" t="str">
        <x:v>0893059875</x:v>
      </x:c>
      <x:c r="D59" s="14" t="str">
        <x:v>014185517408</x:v>
      </x:c>
      <x:c r="E59" s="14" t="str">
        <x:v>phamminhbinh58@gmail.com</x:v>
      </x:c>
      <x:c r="F59" s="12" t="str">
        <x:v>Hà Đông, Hà Nội</x:v>
      </x:c>
      <x:c r="G59" s="12" t="str">
        <x:v>Phạm Minh Bình</x:v>
      </x:c>
      <x:c r="H59" s="12" t="str">
        <x:v>Thanh toán tiến độ</x:v>
      </x:c>
      <x:c r="I59" s="102" t="n">
        <x:v>8684347196</x:v>
      </x:c>
      <x:c r="J59" s="100" t="n">
        <x:v>46252.583333333336</x:v>
      </x:c>
      <x:c r="K59" s="12" t="str">
        <x:v>Đã ký</x:v>
      </x:c>
      <x:c r="L59" s="102" t="n">
        <x:v>8684347196</x:v>
      </x:c>
      <x:c r="M59" s="102" t="n">
        <x:v>86843472</x:v>
      </x:c>
      <x:c r="N59" s="12" t="str">
        <x:v>Đã thanh toán đợt 1</x:v>
      </x:c>
      <x:c r="O59" s="12" t="str">
        <x:v>Quan tâm căn tầng cao, view thoáng</x:v>
      </x:c>
      <x:c r="P59" s="14" t="str">
        <x:v>V2.0601</x:v>
      </x:c>
      <x:c r="Q59" s="12" t="str">
        <x:v>NV011</x:v>
      </x:c>
    </x:row>
    <x:row r="60">
      <x:c r="A60" s="12" t="str">
        <x:v>HĐTT5-4</x:v>
      </x:c>
      <x:c r="B60" s="12" t="str">
        <x:v>KH059</x:v>
      </x:c>
      <x:c r="C60" s="14" t="str">
        <x:v>0381358094</x:v>
      </x:c>
      <x:c r="D60" s="14" t="str">
        <x:v>006082452056</x:v>
      </x:c>
      <x:c r="E60" s="14" t="str">
        <x:v>tranthuyvy59@gmail.com</x:v>
      </x:c>
      <x:c r="F60" s="12" t="str">
        <x:v>Tây Hồ, Hà Nội</x:v>
      </x:c>
      <x:c r="G60" s="12" t="str">
        <x:v>Trần Thùy Vy</x:v>
      </x:c>
      <x:c r="H60" s="12" t="str">
        <x:v>Thanh toán sớm</x:v>
      </x:c>
      <x:c r="I60" s="102" t="n">
        <x:v>21253181253</x:v>
      </x:c>
      <x:c r="J60" s="100" t="n">
        <x:v>46258.645833333336</x:v>
      </x:c>
      <x:c r="K60" s="12" t="str">
        <x:v>Đã ký</x:v>
      </x:c>
      <x:c r="L60" s="102" t="n">
        <x:v>21253181253</x:v>
      </x:c>
      <x:c r="M60" s="102" t="n">
        <x:v>212531813</x:v>
      </x:c>
      <x:c r="N60" s="12" t="str">
        <x:v>Đang thanh toán</x:v>
      </x:c>
      <x:c r="O60" s="12" t="str">
        <x:v>Khách mua cho con, ưu tiên tiện ích nội khu</x:v>
      </x:c>
      <x:c r="P60" s="14" t="str">
        <x:v>TT5-4</x:v>
      </x:c>
      <x:c r="Q60" s="12" t="str">
        <x:v>NV012</x:v>
      </x:c>
    </x:row>
    <x:row r="61">
      <x:c r="A61" s="12" t="str">
        <x:v>HĐTT5-5</x:v>
      </x:c>
      <x:c r="B61" s="12" t="str">
        <x:v>KH060</x:v>
      </x:c>
      <x:c r="C61" s="14" t="str">
        <x:v>0336075846</x:v>
      </x:c>
      <x:c r="D61" s="14" t="str">
        <x:v>010080749278</x:v>
      </x:c>
      <x:c r="E61" s="14" t="str">
        <x:v>doanhha60@gmail.com</x:v>
      </x:c>
      <x:c r="F61" s="12" t="str">
        <x:v>Ba Đình, Hà Nội</x:v>
      </x:c>
      <x:c r="G61" s="12" t="str">
        <x:v>Đỗ Anh Hà</x:v>
      </x:c>
      <x:c r="H61" s="12" t="str">
        <x:v>Vay HTLS</x:v>
      </x:c>
      <x:c r="I61" s="102" t="n">
        <x:v>22371769740</x:v>
      </x:c>
      <x:c r="J61" s="100" t="n">
        <x:v>46261.677083333336</x:v>
      </x:c>
      <x:c r="K61" s="12" t="str">
        <x:v>Đã ký</x:v>
      </x:c>
      <x:c r="L61" s="102" t="n">
        <x:v>22371769740</x:v>
      </x:c>
      <x:c r="M61" s="102" t="n">
        <x:v>223717697</x:v>
      </x:c>
      <x:c r="N61" s="12" t="str">
        <x:v>Hoàn tất</x:v>
      </x:c>
      <x:c r="O61" s="12" t="str">
        <x:v>Khách đầu tư cho thuê</x:v>
      </x:c>
      <x:c r="P61" s="14" t="str">
        <x:v>TT5-5</x:v>
      </x:c>
      <x:c r="Q61" s="12" t="str">
        <x:v>NV013</x:v>
      </x:c>
    </x:row>
    <x:row r="62">
      <x:c r="C62" s="15"/>
      <x:c r="D62" s="15"/>
      <x:c r="E62" s="15"/>
      <x:c r="I62" s="23"/>
      <x:c r="J62" s="27"/>
      <x:c r="L62" s="23"/>
      <x:c r="M62" s="23"/>
      <x:c r="P62" s="15"/>
    </x:row>
    <x:row r="63">
      <x:c r="C63" s="15"/>
      <x:c r="D63" s="15"/>
      <x:c r="E63" s="15"/>
      <x:c r="I63" s="23"/>
      <x:c r="J63" s="27"/>
      <x:c r="L63" s="23"/>
      <x:c r="M63" s="23"/>
      <x:c r="P63" s="15"/>
    </x:row>
    <x:row r="64">
      <x:c r="C64" s="15"/>
      <x:c r="D64" s="15"/>
      <x:c r="E64" s="15"/>
      <x:c r="I64" s="23"/>
      <x:c r="J64" s="27"/>
      <x:c r="L64" s="23"/>
      <x:c r="M64" s="23"/>
      <x:c r="P64" s="15"/>
    </x:row>
    <x:row r="65">
      <x:c r="C65" s="15"/>
      <x:c r="D65" s="15"/>
      <x:c r="E65" s="15"/>
      <x:c r="I65" s="23"/>
      <x:c r="J65" s="27"/>
      <x:c r="L65" s="23"/>
      <x:c r="M65" s="23"/>
      <x:c r="P65" s="15"/>
    </x:row>
    <x:row r="66">
      <x:c r="C66" s="15"/>
      <x:c r="D66" s="15"/>
      <x:c r="E66" s="15"/>
      <x:c r="I66" s="23"/>
      <x:c r="J66" s="27"/>
      <x:c r="L66" s="23"/>
      <x:c r="M66" s="23"/>
      <x:c r="P66" s="15"/>
    </x:row>
    <x:row r="67">
      <x:c r="C67" s="15"/>
      <x:c r="D67" s="15"/>
      <x:c r="E67" s="15"/>
      <x:c r="I67" s="23"/>
      <x:c r="J67" s="27"/>
      <x:c r="L67" s="23"/>
      <x:c r="M67" s="23"/>
      <x:c r="P67" s="15"/>
    </x:row>
    <x:row r="68">
      <x:c r="C68" s="15"/>
      <x:c r="D68" s="15"/>
      <x:c r="E68" s="15"/>
      <x:c r="I68" s="23"/>
      <x:c r="J68" s="27"/>
      <x:c r="L68" s="23"/>
      <x:c r="M68" s="23"/>
      <x:c r="P68" s="15"/>
    </x:row>
    <x:row r="69">
      <x:c r="C69" s="15"/>
      <x:c r="D69" s="15"/>
      <x:c r="E69" s="15"/>
      <x:c r="I69" s="23"/>
      <x:c r="J69" s="27"/>
      <x:c r="L69" s="23"/>
      <x:c r="M69" s="23"/>
      <x:c r="P69" s="15"/>
    </x:row>
    <x:row r="70">
      <x:c r="C70" s="15"/>
      <x:c r="D70" s="15"/>
      <x:c r="E70" s="15"/>
      <x:c r="I70" s="23"/>
      <x:c r="J70" s="27"/>
      <x:c r="L70" s="23"/>
      <x:c r="M70" s="23"/>
      <x:c r="P70" s="15"/>
    </x:row>
    <x:row r="71">
      <x:c r="C71" s="15"/>
      <x:c r="D71" s="15"/>
      <x:c r="E71" s="15"/>
      <x:c r="I71" s="23"/>
      <x:c r="J71" s="27"/>
      <x:c r="L71" s="23"/>
      <x:c r="M71" s="23"/>
      <x:c r="P71" s="15"/>
    </x:row>
    <x:row r="72">
      <x:c r="C72" s="15"/>
      <x:c r="D72" s="15"/>
      <x:c r="E72" s="15"/>
      <x:c r="I72" s="23"/>
      <x:c r="J72" s="27"/>
      <x:c r="L72" s="23"/>
      <x:c r="M72" s="23"/>
      <x:c r="P72" s="15"/>
    </x:row>
    <x:row r="73">
      <x:c r="C73" s="15"/>
      <x:c r="D73" s="15"/>
      <x:c r="E73" s="15"/>
      <x:c r="I73" s="23"/>
      <x:c r="J73" s="27"/>
      <x:c r="L73" s="23"/>
      <x:c r="M73" s="23"/>
      <x:c r="P73" s="15"/>
    </x:row>
    <x:row r="74">
      <x:c r="C74" s="15"/>
      <x:c r="D74" s="15"/>
      <x:c r="E74" s="15"/>
      <x:c r="I74" s="23"/>
      <x:c r="J74" s="27"/>
      <x:c r="L74" s="23"/>
      <x:c r="M74" s="23"/>
      <x:c r="P74" s="15"/>
    </x:row>
    <x:row r="75">
      <x:c r="C75" s="15"/>
      <x:c r="D75" s="15"/>
      <x:c r="E75" s="15"/>
      <x:c r="I75" s="23"/>
      <x:c r="J75" s="27"/>
      <x:c r="L75" s="23"/>
      <x:c r="M75" s="23"/>
      <x:c r="P75" s="15"/>
    </x:row>
    <x:row r="76">
      <x:c r="C76" s="15"/>
      <x:c r="D76" s="15"/>
      <x:c r="E76" s="15"/>
      <x:c r="I76" s="23"/>
      <x:c r="J76" s="27"/>
      <x:c r="L76" s="23"/>
      <x:c r="M76" s="23"/>
      <x:c r="P76" s="15"/>
    </x:row>
    <x:row r="77">
      <x:c r="C77" s="15"/>
      <x:c r="D77" s="15"/>
      <x:c r="E77" s="15"/>
      <x:c r="I77" s="23"/>
      <x:c r="J77" s="27"/>
      <x:c r="L77" s="23"/>
      <x:c r="M77" s="23"/>
      <x:c r="P77" s="15"/>
    </x:row>
    <x:row r="78">
      <x:c r="C78" s="15"/>
      <x:c r="D78" s="15"/>
      <x:c r="E78" s="15"/>
      <x:c r="I78" s="23"/>
      <x:c r="J78" s="27"/>
      <x:c r="L78" s="23"/>
      <x:c r="M78" s="23"/>
      <x:c r="P78" s="15"/>
    </x:row>
    <x:row r="79">
      <x:c r="C79" s="15"/>
      <x:c r="D79" s="15"/>
      <x:c r="E79" s="15"/>
      <x:c r="I79" s="23"/>
      <x:c r="J79" s="27"/>
      <x:c r="L79" s="23"/>
      <x:c r="M79" s="23"/>
      <x:c r="P79" s="15"/>
    </x:row>
    <x:row r="80">
      <x:c r="C80" s="15"/>
      <x:c r="D80" s="15"/>
      <x:c r="E80" s="15"/>
      <x:c r="I80" s="23"/>
      <x:c r="J80" s="27"/>
      <x:c r="L80" s="23"/>
      <x:c r="M80" s="23"/>
      <x:c r="P80" s="15"/>
    </x:row>
    <x:row r="81">
      <x:c r="C81" s="15"/>
      <x:c r="D81" s="15"/>
      <x:c r="E81" s="15"/>
      <x:c r="I81" s="23"/>
      <x:c r="J81" s="27"/>
      <x:c r="L81" s="23"/>
      <x:c r="M81" s="23"/>
      <x:c r="P81" s="15"/>
    </x:row>
    <x:row r="82">
      <x:c r="C82" s="15"/>
      <x:c r="D82" s="15"/>
      <x:c r="E82" s="15"/>
      <x:c r="I82" s="23"/>
      <x:c r="J82" s="27"/>
      <x:c r="L82" s="23"/>
      <x:c r="M82" s="23"/>
      <x:c r="P82" s="15"/>
    </x:row>
    <x:row r="83">
      <x:c r="C83" s="15"/>
      <x:c r="D83" s="15"/>
      <x:c r="E83" s="15"/>
      <x:c r="I83" s="23"/>
      <x:c r="J83" s="27"/>
      <x:c r="L83" s="23"/>
      <x:c r="M83" s="23"/>
      <x:c r="P83" s="15"/>
    </x:row>
    <x:row r="84">
      <x:c r="C84" s="15"/>
      <x:c r="D84" s="15"/>
      <x:c r="E84" s="15"/>
      <x:c r="I84" s="23"/>
      <x:c r="J84" s="27"/>
      <x:c r="L84" s="23"/>
      <x:c r="M84" s="23"/>
      <x:c r="P84" s="15"/>
    </x:row>
    <x:row r="85">
      <x:c r="C85" s="15"/>
      <x:c r="D85" s="15"/>
      <x:c r="E85" s="15"/>
      <x:c r="I85" s="23"/>
      <x:c r="J85" s="27"/>
      <x:c r="L85" s="23"/>
      <x:c r="M85" s="23"/>
      <x:c r="P85" s="15"/>
    </x:row>
    <x:row r="86">
      <x:c r="C86" s="15"/>
      <x:c r="D86" s="15"/>
      <x:c r="E86" s="15"/>
      <x:c r="I86" s="23"/>
      <x:c r="J86" s="27"/>
      <x:c r="L86" s="23"/>
      <x:c r="M86" s="23"/>
      <x:c r="P86" s="15"/>
    </x:row>
    <x:row r="87">
      <x:c r="C87" s="15"/>
      <x:c r="D87" s="15"/>
      <x:c r="E87" s="15"/>
      <x:c r="I87" s="23"/>
      <x:c r="J87" s="27"/>
      <x:c r="L87" s="23"/>
      <x:c r="M87" s="23"/>
      <x:c r="P87" s="15"/>
    </x:row>
    <x:row r="88">
      <x:c r="C88" s="15"/>
      <x:c r="D88" s="15"/>
      <x:c r="E88" s="15"/>
      <x:c r="I88" s="23"/>
      <x:c r="J88" s="27"/>
      <x:c r="L88" s="23"/>
      <x:c r="M88" s="23"/>
      <x:c r="P88" s="15"/>
    </x:row>
    <x:row r="89">
      <x:c r="C89" s="15"/>
      <x:c r="D89" s="15"/>
      <x:c r="E89" s="15"/>
      <x:c r="I89" s="23"/>
      <x:c r="J89" s="27"/>
      <x:c r="L89" s="23"/>
      <x:c r="M89" s="23"/>
      <x:c r="P89" s="15"/>
    </x:row>
    <x:row r="90">
      <x:c r="C90" s="15"/>
      <x:c r="D90" s="15"/>
      <x:c r="E90" s="15"/>
      <x:c r="I90" s="23"/>
      <x:c r="J90" s="27"/>
      <x:c r="L90" s="23"/>
      <x:c r="M90" s="23"/>
      <x:c r="P90" s="15"/>
    </x:row>
    <x:row r="91">
      <x:c r="C91" s="15"/>
      <x:c r="D91" s="15"/>
      <x:c r="E91" s="15"/>
      <x:c r="I91" s="23"/>
      <x:c r="J91" s="27"/>
      <x:c r="L91" s="23"/>
      <x:c r="M91" s="23"/>
      <x:c r="P91" s="15"/>
    </x:row>
    <x:row r="92">
      <x:c r="C92" s="15"/>
      <x:c r="D92" s="15"/>
      <x:c r="E92" s="15"/>
      <x:c r="I92" s="23"/>
      <x:c r="J92" s="27"/>
      <x:c r="L92" s="23"/>
      <x:c r="M92" s="23"/>
      <x:c r="P92" s="15"/>
    </x:row>
    <x:row r="93">
      <x:c r="C93" s="15"/>
      <x:c r="D93" s="15"/>
      <x:c r="E93" s="15"/>
      <x:c r="I93" s="23"/>
      <x:c r="J93" s="27"/>
      <x:c r="L93" s="23"/>
      <x:c r="M93" s="23"/>
      <x:c r="P93" s="15"/>
    </x:row>
    <x:row r="94">
      <x:c r="C94" s="15"/>
      <x:c r="D94" s="15"/>
      <x:c r="E94" s="15"/>
      <x:c r="I94" s="23"/>
      <x:c r="J94" s="27"/>
      <x:c r="L94" s="23"/>
      <x:c r="M94" s="23"/>
      <x:c r="P94" s="15"/>
    </x:row>
    <x:row r="95">
      <x:c r="C95" s="15"/>
      <x:c r="D95" s="15"/>
      <x:c r="E95" s="15"/>
      <x:c r="I95" s="23"/>
      <x:c r="J95" s="27"/>
      <x:c r="L95" s="23"/>
      <x:c r="M95" s="23"/>
      <x:c r="P95" s="15"/>
    </x:row>
    <x:row r="96">
      <x:c r="C96" s="15"/>
      <x:c r="D96" s="15"/>
      <x:c r="E96" s="15"/>
      <x:c r="I96" s="23"/>
      <x:c r="J96" s="27"/>
      <x:c r="L96" s="23"/>
      <x:c r="M96" s="23"/>
      <x:c r="P96" s="15"/>
    </x:row>
    <x:row r="97">
      <x:c r="C97" s="15"/>
      <x:c r="D97" s="15"/>
      <x:c r="E97" s="15"/>
      <x:c r="I97" s="23"/>
      <x:c r="J97" s="27"/>
      <x:c r="L97" s="23"/>
      <x:c r="M97" s="23"/>
      <x:c r="P97" s="15"/>
    </x:row>
    <x:row r="98">
      <x:c r="C98" s="15"/>
      <x:c r="D98" s="15"/>
      <x:c r="E98" s="15"/>
      <x:c r="I98" s="23"/>
      <x:c r="J98" s="27"/>
      <x:c r="L98" s="23"/>
      <x:c r="M98" s="23"/>
      <x:c r="P98" s="15"/>
    </x:row>
    <x:row r="99">
      <x:c r="C99" s="15"/>
      <x:c r="D99" s="15"/>
      <x:c r="E99" s="15"/>
      <x:c r="I99" s="23"/>
      <x:c r="J99" s="27"/>
      <x:c r="L99" s="23"/>
      <x:c r="M99" s="23"/>
      <x:c r="P99" s="15"/>
    </x:row>
    <x:row r="100">
      <x:c r="C100" s="15"/>
      <x:c r="D100" s="15"/>
      <x:c r="E100" s="15"/>
      <x:c r="I100" s="23"/>
      <x:c r="J100" s="27"/>
      <x:c r="L100" s="23"/>
      <x:c r="M100" s="23"/>
      <x:c r="P100" s="15"/>
    </x:row>
  </x:sheetData>
  <x:pageMargins left="0.7" right="0.7" top="0.75" bottom="0.75" header="0.3" footer="0.3"/>
  <x:tableParts count="1">
    <x:tablePart xmlns:r="http://schemas.openxmlformats.org/officeDocument/2006/relationships" r:id="Raf5aee2a890543b7"/>
  </x:tableParts>
</x:worksheet>
</file>

<file path=xl/worksheets/sheet10.xml><?xml version="1.0" encoding="utf-8"?>
<x:worksheet xmlns:x="http://schemas.openxmlformats.org/spreadsheetml/2006/main">
  <x:sheetFormatPr defaultRowHeight="15"/>
  <x:cols>
    <x:col min="7" max="7" width="2" hidden="0" customWidth="1"/>
    <x:col min="1" max="1" width="18" hidden="0" customWidth="1"/>
    <x:col min="2" max="2" width="15" hidden="0" customWidth="1"/>
    <x:col min="3" max="3" width="20" hidden="0" customWidth="1"/>
    <x:col min="4" max="4" width="20" hidden="0" customWidth="1"/>
    <x:col min="5" max="5" width="14" hidden="0" customWidth="1"/>
    <x:col min="6" max="6" width="18" hidden="0" customWidth="1"/>
    <x:col min="8" max="8" width="18" hidden="0" customWidth="1"/>
    <x:col min="9" max="9" width="20" hidden="0" customWidth="1"/>
  </x:cols>
  <x:sheetData>
    <x:row r="1" ht="26" customHeight="1">
      <x:c r="A1" s="33" t="str">
        <x:v>CÔNG TY CỔ PHẦN BẤT ĐỘNG SẢN AHS</x:v>
      </x:c>
      <x:c r="B1" s="33"/>
      <x:c r="C1" s="33"/>
      <x:c r="D1" s="33"/>
      <x:c r="E1" s="33"/>
      <x:c r="F1" s="33"/>
    </x:row>
    <x:row r="2" ht="24" customHeight="1">
      <x:c r="A2" s="37" t="str">
        <x:v>Địa chỉ: Tầng 4, Tòa nhà The Legend Tower, số 109 Nguyễn Tuân, Phường Thanh Xuân, Thành phố Hà Nội, Việt Nam</x:v>
      </x:c>
      <x:c r="B2" s="37"/>
      <x:c r="C2" s="37"/>
      <x:c r="D2" s="37"/>
      <x:c r="E2" s="37"/>
      <x:c r="F2" s="37"/>
      <x:c r="H2" s="104" t="str">
        <x:v>CHỈ TIÊU</x:v>
      </x:c>
      <x:c r="I2" s="106" t="str">
        <x:v>GIÁ TRỊ</x:v>
      </x:c>
    </x:row>
    <x:row r="3">
      <x:c r="A3" s="39" t="str">
        <x:v>Điện thoại: 0964960955</x:v>
      </x:c>
      <x:c r="B3" s="39"/>
      <x:c r="C3" s="39"/>
      <x:c r="D3" s="39"/>
      <x:c r="E3" s="39"/>
      <x:c r="F3" s="39"/>
      <x:c r="H3" s="63" t="str">
        <x:v>Tổng doanh thu</x:v>
      </x:c>
      <x:c r="I3" s="89" t="n">
        <x:f>C19</x:f>
        <x:v>901417346121</x:v>
      </x:c>
    </x:row>
    <x:row r="4">
      <x:c r="A4" s="40" t="str">
        <x:v>Người tạo</x:v>
      </x:c>
      <x:c r="B4" t="str">
        <x:v>Hoàng Thị Hương Giang</x:v>
      </x:c>
      <x:c r="D4" s="40" t="str">
        <x:v>Ngày tạo</x:v>
      </x:c>
      <x:c r="E4" s="41" t="n">
        <x:v>46270</x:v>
      </x:c>
      <x:c r="H4" s="66" t="str">
        <x:v>Số hợp đồng</x:v>
      </x:c>
      <x:c r="I4" s="90" t="n">
        <x:f>B19</x:f>
        <x:v>60</x:v>
      </x:c>
    </x:row>
    <x:row r="5">
      <x:c r="A5" s="40" t="str">
        <x:v>Thời gian thống kê</x:v>
      </x:c>
      <x:c r="B5" s="129" t="str">
        <x:v>01/01/2026 - 31/08/2026</x:v>
      </x:c>
      <x:c r="C5" s="129"/>
      <x:c r="H5" s="69" t="str">
        <x:v>Giá trị HĐ TB</x:v>
      </x:c>
      <x:c r="I5" s="91" t="n">
        <x:f>D19</x:f>
        <x:v>15023622435.35</x:v>
      </x:c>
    </x:row>
    <x:row r="7" ht="28" customHeight="1">
      <x:c r="A7" s="44" t="str">
        <x:v>BÁO CÁO DOANH THU</x:v>
      </x:c>
      <x:c r="B7" s="44"/>
      <x:c r="C7" s="44"/>
      <x:c r="D7" s="44"/>
      <x:c r="E7" s="44"/>
      <x:c r="F7" s="44"/>
    </x:row>
    <x:row r="8">
      <x:c r="A8" s="47" t="str">
        <x:v>Tổng hợp doanh thu từ hợp đồng theo tháng</x:v>
      </x:c>
      <x:c r="B8" s="47"/>
      <x:c r="C8" s="47"/>
      <x:c r="D8" s="47"/>
      <x:c r="E8" s="47"/>
      <x:c r="F8" s="47"/>
    </x:row>
    <x:row r="10" ht="28" customHeight="1">
      <x:c r="A10" s="104" t="str">
        <x:v>Tháng</x:v>
      </x:c>
      <x:c r="B10" s="105" t="str">
        <x:v>Số hợp đồng</x:v>
      </x:c>
      <x:c r="C10" s="105" t="str">
        <x:v>Doanh thu</x:v>
      </x:c>
      <x:c r="D10" s="105" t="str">
        <x:v>Giá trị HĐ bình quân</x:v>
      </x:c>
      <x:c r="E10" s="105" t="str">
        <x:v>Tỷ trọng DT</x:v>
      </x:c>
      <x:c r="F10" s="106" t="str">
        <x:v>Ghi chú</x:v>
      </x:c>
    </x:row>
    <x:row r="11">
      <x:c r="A11" s="63" t="str">
        <x:v>01/2026</x:v>
      </x:c>
      <x:c r="B11" s="77" t="n">
        <x:f>COUNTIFS(HopDong!$J$2:$J$61,"&gt;="&amp;G11,HopDong!$J$2:$J$61,"&lt;"&amp;DATE(YEAR(G11),MONTH(G11)+1,1))</x:f>
        <x:v>6</x:v>
      </x:c>
      <x:c r="C11" s="81" t="n">
        <x:f>SUMIFS(HopDong!$I$2:$I$61,HopDong!$J$2:$J$61,"&gt;="&amp;G11,HopDong!$J$2:$J$61,"&lt;"&amp;DATE(YEAR(G11),MONTH(G11)+1,1))</x:f>
        <x:v>110679099865</x:v>
      </x:c>
      <x:c r="D11" s="81" t="n">
        <x:f>IFERROR(C11/B11,0)</x:f>
        <x:v>18446516644.166668</x:v>
      </x:c>
      <x:c r="E11" s="85" t="n">
        <x:f>IFERROR(C11/SUM($C$11:$C$18),0)</x:f>
        <x:v>0.12278341474265707</x:v>
      </x:c>
      <x:c r="F11" s="65"/>
      <x:c r="G11" s="62" t="n">
        <x:v>46023</x:v>
      </x:c>
    </x:row>
    <x:row r="12">
      <x:c r="A12" s="66" t="str">
        <x:v>02/2026</x:v>
      </x:c>
      <x:c r="B12" s="78" t="n">
        <x:f>COUNTIFS(HopDong!$J$2:$J$61,"&gt;="&amp;G12,HopDong!$J$2:$J$61,"&lt;"&amp;DATE(YEAR(G12),MONTH(G12)+1,1))</x:f>
        <x:v>6</x:v>
      </x:c>
      <x:c r="C12" s="82" t="n">
        <x:f>SUMIFS(HopDong!$I$2:$I$61,HopDong!$J$2:$J$61,"&gt;="&amp;G12,HopDong!$J$2:$J$61,"&lt;"&amp;DATE(YEAR(G12),MONTH(G12)+1,1))</x:f>
        <x:v>97257735541</x:v>
      </x:c>
      <x:c r="D12" s="82" t="n">
        <x:f>IFERROR(C12/B12,0)</x:f>
        <x:v>16209622590.166666</x:v>
      </x:c>
      <x:c r="E12" s="86" t="n">
        <x:f>IFERROR(C12/SUM($C$11:$C$18),0)</x:f>
        <x:v>0.10789423562739472</x:v>
      </x:c>
      <x:c r="F12" s="68"/>
      <x:c r="G12" s="62" t="n">
        <x:v>46054</x:v>
      </x:c>
    </x:row>
    <x:row r="13">
      <x:c r="A13" s="66" t="str">
        <x:v>03/2026</x:v>
      </x:c>
      <x:c r="B13" s="78" t="n">
        <x:f>COUNTIFS(HopDong!$J$2:$J$61,"&gt;="&amp;G13,HopDong!$J$2:$J$61,"&lt;"&amp;DATE(YEAR(G13),MONTH(G13)+1,1))</x:f>
        <x:v>6</x:v>
      </x:c>
      <x:c r="C13" s="82" t="n">
        <x:f>SUMIFS(HopDong!$I$2:$I$61,HopDong!$J$2:$J$61,"&gt;="&amp;G13,HopDong!$J$2:$J$61,"&lt;"&amp;DATE(YEAR(G13),MONTH(G13)+1,1))</x:f>
        <x:v>101166634275</x:v>
      </x:c>
      <x:c r="D13" s="82" t="n">
        <x:f>IFERROR(C13/B13,0)</x:f>
        <x:v>16861105712.5</x:v>
      </x:c>
      <x:c r="E13" s="86" t="n">
        <x:f>IFERROR(C13/SUM($C$11:$C$18),0)</x:f>
        <x:v>0.11223062736738161</x:v>
      </x:c>
      <x:c r="F13" s="68"/>
      <x:c r="G13" s="62" t="n">
        <x:v>46082</x:v>
      </x:c>
    </x:row>
    <x:row r="14">
      <x:c r="A14" s="66" t="str">
        <x:v>04/2026</x:v>
      </x:c>
      <x:c r="B14" s="78" t="n">
        <x:f>COUNTIFS(HopDong!$J$2:$J$61,"&gt;="&amp;G14,HopDong!$J$2:$J$61,"&lt;"&amp;DATE(YEAR(G14),MONTH(G14)+1,1))</x:f>
        <x:v>6</x:v>
      </x:c>
      <x:c r="C14" s="82" t="n">
        <x:f>SUMIFS(HopDong!$I$2:$I$61,HopDong!$J$2:$J$61,"&gt;="&amp;G14,HopDong!$J$2:$J$61,"&lt;"&amp;DATE(YEAR(G14),MONTH(G14)+1,1))</x:f>
        <x:v>116820540251</x:v>
      </x:c>
      <x:c r="D14" s="82" t="n">
        <x:f>IFERROR(C14/B14,0)</x:f>
        <x:v>19470090041.833332</x:v>
      </x:c>
      <x:c r="E14" s="86" t="n">
        <x:f>IFERROR(C14/SUM($C$11:$C$18),0)</x:f>
        <x:v>0.12959650793686725</x:v>
      </x:c>
      <x:c r="F14" s="68"/>
      <x:c r="G14" s="62" t="n">
        <x:v>46113</x:v>
      </x:c>
    </x:row>
    <x:row r="15">
      <x:c r="A15" s="66" t="str">
        <x:v>05/2026</x:v>
      </x:c>
      <x:c r="B15" s="78" t="n">
        <x:f>COUNTIFS(HopDong!$J$2:$J$61,"&gt;="&amp;G15,HopDong!$J$2:$J$61,"&lt;"&amp;DATE(YEAR(G15),MONTH(G15)+1,1))</x:f>
        <x:v>6</x:v>
      </x:c>
      <x:c r="C15" s="82" t="n">
        <x:f>SUMIFS(HopDong!$I$2:$I$61,HopDong!$J$2:$J$61,"&gt;="&amp;G15,HopDong!$J$2:$J$61,"&lt;"&amp;DATE(YEAR(G15),MONTH(G15)+1,1))</x:f>
        <x:v>114491559740</x:v>
      </x:c>
      <x:c r="D15" s="82" t="n">
        <x:f>IFERROR(C15/B15,0)</x:f>
        <x:v>19081926623.333332</x:v>
      </x:c>
      <x:c r="E15" s="86" t="n">
        <x:f>IFERROR(C15/SUM($C$11:$C$18),0)</x:f>
        <x:v>0.1270128206792145</x:v>
      </x:c>
      <x:c r="F15" s="68"/>
      <x:c r="G15" s="62" t="n">
        <x:v>46143</x:v>
      </x:c>
    </x:row>
    <x:row r="16">
      <x:c r="A16" s="66" t="str">
        <x:v>06/2026</x:v>
      </x:c>
      <x:c r="B16" s="78" t="n">
        <x:f>COUNTIFS(HopDong!$J$2:$J$61,"&gt;="&amp;G16,HopDong!$J$2:$J$61,"&lt;"&amp;DATE(YEAR(G16),MONTH(G16)+1,1))</x:f>
        <x:v>13</x:v>
      </x:c>
      <x:c r="C16" s="82" t="n">
        <x:f>SUMIFS(HopDong!$I$2:$I$61,HopDong!$J$2:$J$61,"&gt;="&amp;G16,HopDong!$J$2:$J$61,"&lt;"&amp;DATE(YEAR(G16),MONTH(G16)+1,1))</x:f>
        <x:v>180442343078</x:v>
      </x:c>
      <x:c r="D16" s="82" t="n">
        <x:f>IFERROR(C16/B16,0)</x:f>
        <x:v>13880180236.76923</x:v>
      </x:c>
      <x:c r="E16" s="86" t="n">
        <x:f>IFERROR(C16/SUM($C$11:$C$18),0)</x:f>
        <x:v>0.2001762489422726</x:v>
      </x:c>
      <x:c r="F16" s="68"/>
      <x:c r="G16" s="62" t="n">
        <x:v>46174</x:v>
      </x:c>
    </x:row>
    <x:row r="17">
      <x:c r="A17" s="66" t="str">
        <x:v>07/2026</x:v>
      </x:c>
      <x:c r="B17" s="78" t="n">
        <x:f>COUNTIFS(HopDong!$J$2:$J$61,"&gt;="&amp;G17,HopDong!$J$2:$J$61,"&lt;"&amp;DATE(YEAR(G17),MONTH(G17)+1,1))</x:f>
        <x:v>11</x:v>
      </x:c>
      <x:c r="C17" s="82" t="n">
        <x:f>SUMIFS(HopDong!$I$2:$I$61,HopDong!$J$2:$J$61,"&gt;="&amp;G17,HopDong!$J$2:$J$61,"&lt;"&amp;DATE(YEAR(G17),MONTH(G17)+1,1))</x:f>
        <x:v>69032435957</x:v>
      </x:c>
      <x:c r="D17" s="82" t="n">
        <x:f>IFERROR(C17/B17,0)</x:f>
        <x:v>6275675996.090909</x:v>
      </x:c>
      <x:c r="E17" s="86" t="n">
        <x:f>IFERROR(C17/SUM($C$11:$C$18),0)</x:f>
        <x:v>0.07658210290057317</x:v>
      </x:c>
      <x:c r="F17" s="68"/>
      <x:c r="G17" s="62" t="n">
        <x:v>46204</x:v>
      </x:c>
    </x:row>
    <x:row r="18">
      <x:c r="A18" s="69" t="str">
        <x:v>08/2026</x:v>
      </x:c>
      <x:c r="B18" s="79" t="n">
        <x:f>COUNTIFS(HopDong!$J$2:$J$61,"&gt;="&amp;G18,HopDong!$J$2:$J$61,"&lt;"&amp;DATE(YEAR(G18),MONTH(G18)+1,1))</x:f>
        <x:v>6</x:v>
      </x:c>
      <x:c r="C18" s="83" t="n">
        <x:f>SUMIFS(HopDong!$I$2:$I$61,HopDong!$J$2:$J$61,"&gt;="&amp;G18,HopDong!$J$2:$J$61,"&lt;"&amp;DATE(YEAR(G18),MONTH(G18)+1,1))</x:f>
        <x:v>111526997414</x:v>
      </x:c>
      <x:c r="D18" s="83" t="n">
        <x:f>IFERROR(C18/B18,0)</x:f>
        <x:v>18587832902.333332</x:v>
      </x:c>
      <x:c r="E18" s="87" t="n">
        <x:f>IFERROR(C18/SUM($C$11:$C$18),0)</x:f>
        <x:v>0.12372404180363908</x:v>
      </x:c>
      <x:c r="F18" s="71"/>
      <x:c r="G18" s="62" t="n">
        <x:v>46235</x:v>
      </x:c>
    </x:row>
    <x:row r="19">
      <x:c r="A19" s="117" t="str">
        <x:v>TỔNG</x:v>
      </x:c>
      <x:c r="B19" s="118" t="n">
        <x:f>SUM(B11:B18)</x:f>
        <x:v>60</x:v>
      </x:c>
      <x:c r="C19" s="119" t="n">
        <x:f>SUM(C11:C18)</x:f>
        <x:v>901417346121</x:v>
      </x:c>
      <x:c r="D19" s="119" t="n">
        <x:f>IFERROR(C19/B19,0)</x:f>
        <x:v>15023622435.35</x:v>
      </x:c>
      <x:c r="E19" s="120" t="n">
        <x:f>SUM(E11:E18)</x:f>
        <x:v>1</x:v>
      </x:c>
      <x:c r="F19" s="121" t="str"/>
      <x:c r="G19" s="62"/>
    </x:row>
    <x:row r="20">
      <x:c r="A20" s="66"/>
      <x:c r="B20" s="78"/>
      <x:c r="C20" s="82"/>
      <x:c r="D20" s="82"/>
      <x:c r="E20" s="86"/>
      <x:c r="F20" s="68"/>
      <x:c r="G20" s="62"/>
    </x:row>
    <x:row r="21">
      <x:c r="A21" s="66"/>
      <x:c r="B21" s="78"/>
      <x:c r="C21" s="82"/>
      <x:c r="D21" s="82"/>
      <x:c r="E21" s="86"/>
      <x:c r="F21" s="68"/>
      <x:c r="G21" s="62"/>
    </x:row>
    <x:row r="22">
      <x:c r="A22" s="69"/>
      <x:c r="B22" s="79"/>
      <x:c r="C22" s="83"/>
      <x:c r="D22" s="83"/>
      <x:c r="E22" s="87"/>
      <x:c r="F22" s="71"/>
      <x:c r="G22" s="62"/>
    </x:row>
    <x:row r="23">
      <x:c r="A23" s="74"/>
      <x:c r="B23" s="80"/>
      <x:c r="C23" s="84"/>
      <x:c r="D23" s="84"/>
      <x:c r="E23" s="88"/>
      <x:c r="F23" s="76"/>
    </x:row>
    <x:row r="25">
      <x:c r="A25" s="92"/>
      <x:c r="B25" s="92"/>
      <x:c r="C25" s="92"/>
      <x:c r="D25" s="92"/>
      <x:c r="E25" s="92"/>
      <x:c r="F25" s="92"/>
    </x:row>
  </x:sheetData>
  <x:mergeCells>
    <x:mergeCell ref="A1:F1"/>
    <x:mergeCell ref="A2:F2"/>
    <x:mergeCell ref="A3:F3"/>
    <x:mergeCell ref="A7:F7"/>
    <x:mergeCell ref="A8:F8"/>
    <x:mergeCell ref="A25:F25"/>
    <x:mergeCell ref="B5:C5"/>
  </x:mergeCells>
  <x:pageMargins left="0.7" right="0.7" top="0.75" bottom="0.75" header="0.3" footer="0.3"/>
  <x:drawing xmlns:r="http://schemas.openxmlformats.org/officeDocument/2006/relationships" r:id="Rc5e4e4097ce44f2e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6" customHeight="1">
      <x:c r="A1" s="33" t="str">
        <x:v>CÔNG TY CỔ PHẦN BẤT ĐỘNG SẢN AHS</x:v>
      </x:c>
      <x:c r="B1" s="33"/>
      <x:c r="C1" s="33"/>
      <x:c r="D1" s="33"/>
      <x:c r="E1" s="33"/>
      <x:c r="F1" s="33"/>
      <x:c r="G1" s="33"/>
    </x:row>
    <x:row r="2" ht="24" customHeight="1">
      <x:c r="A2" s="37" t="str">
        <x:v>Địa chỉ: Tầng 4, Tòa nhà The Legend Tower, số 109 Nguyễn Tuân, Phường Thanh Xuân, Thành phố Hà Nội, Việt Nam</x:v>
      </x:c>
      <x:c r="B2" s="37"/>
      <x:c r="C2" s="37"/>
      <x:c r="D2" s="37"/>
      <x:c r="E2" s="37"/>
      <x:c r="F2" s="37"/>
      <x:c r="G2" s="37"/>
    </x:row>
    <x:row r="3">
      <x:c r="A3" s="39" t="str">
        <x:v>Điện thoại: 0964960955</x:v>
      </x:c>
      <x:c r="B3" s="39"/>
      <x:c r="C3" s="39"/>
      <x:c r="D3" s="39"/>
      <x:c r="E3" s="39"/>
      <x:c r="F3" s="39"/>
      <x:c r="G3" s="39"/>
    </x:row>
    <x:row r="4">
      <x:c r="A4" s="40" t="str">
        <x:v>Người tạo</x:v>
      </x:c>
      <x:c r="B4" t="str">
        <x:v>Hoàng Thị Hương Giang</x:v>
      </x:c>
      <x:c r="D4" s="40" t="str">
        <x:v>Ngày tạo</x:v>
      </x:c>
      <x:c r="E4" s="41" t="n">
        <x:v>46270</x:v>
      </x:c>
    </x:row>
    <x:row r="5">
      <x:c r="A5" s="40" t="str">
        <x:v>Thời gian thống kê</x:v>
      </x:c>
      <x:c r="B5" s="129" t="str">
        <x:v>Tính đến ngày 31/08/2026</x:v>
      </x:c>
      <x:c r="C5" s="129"/>
    </x:row>
    <x:row r="7" ht="28" customHeight="1">
      <x:c r="A7" s="44" t="str">
        <x:v>BÁO CÁO LƯỢNG SẢN PHẨM BÁN THEO DỰ ÁN</x:v>
      </x:c>
      <x:c r="B7" s="44"/>
      <x:c r="C7" s="44"/>
      <x:c r="D7" s="44"/>
      <x:c r="E7" s="44"/>
      <x:c r="F7" s="44"/>
      <x:c r="G7" s="44"/>
    </x:row>
    <x:row r="8">
      <x:c r="A8" s="47" t="str">
        <x:v>Theo dõi quỹ hàng và tỷ lệ bán của từng dự án</x:v>
      </x:c>
      <x:c r="B8" s="47"/>
      <x:c r="C8" s="47"/>
      <x:c r="D8" s="47"/>
      <x:c r="E8" s="47"/>
      <x:c r="F8" s="47"/>
      <x:c r="G8" s="47"/>
    </x:row>
    <x:row r="10" ht="28" customHeight="1">
      <x:c r="A10" s="104" t="str">
        <x:v>Mã dự án</x:v>
      </x:c>
      <x:c r="B10" s="105" t="str">
        <x:v>Tên dự án</x:v>
      </x:c>
      <x:c r="C10" s="105" t="str">
        <x:v>Tổng sản phẩm</x:v>
      </x:c>
      <x:c r="D10" s="105" t="str">
        <x:v>Còn hàng</x:v>
      </x:c>
      <x:c r="E10" s="105" t="str">
        <x:v>Đang lock</x:v>
      </x:c>
      <x:c r="F10" s="105" t="str">
        <x:v>Đã bán</x:v>
      </x:c>
      <x:c r="G10" s="106" t="str">
        <x:v>Tỷ lệ bán</x:v>
      </x:c>
    </x:row>
    <x:row r="11">
      <x:c r="A11" s="63" t="str">
        <x:f>DuAn!A2</x:f>
        <x:v>DA001</x:v>
      </x:c>
      <x:c r="B11" s="64" t="str">
        <x:f>DuAn!B2</x:f>
        <x:v>The Vista Văn La - Cao tầng</x:v>
      </x:c>
      <x:c r="C11" s="77" t="n">
        <x:f>COUNTIF(SanPham!$I$2:$I$220,A11)</x:f>
        <x:v>45</x:v>
      </x:c>
      <x:c r="D11" s="77" t="n">
        <x:f>COUNTIFS(SanPham!$I$2:$I$220,A11,SanPham!$H$2:$H$220,"Còn hàng")</x:f>
        <x:v>13</x:v>
      </x:c>
      <x:c r="E11" s="77" t="n">
        <x:f>COUNTIFS(SanPham!$I$2:$I$220,A11,SanPham!$H$2:$H$220,"Đang lock")</x:f>
        <x:v>0</x:v>
      </x:c>
      <x:c r="F11" s="77" t="n">
        <x:f>COUNTIFS(SanPham!$I$2:$I$220,A11,SanPham!$H$2:$H$220,"Đã bán")</x:f>
        <x:v>20</x:v>
      </x:c>
      <x:c r="G11" s="93" t="n">
        <x:f>IFERROR(F11/C11,0)</x:f>
        <x:v>0.4444444444444444</x:v>
      </x:c>
    </x:row>
    <x:row r="12">
      <x:c r="A12" s="66" t="str">
        <x:f>DuAn!A3</x:f>
        <x:v>DA002</x:v>
      </x:c>
      <x:c r="B12" s="67" t="str">
        <x:f>DuAn!B3</x:f>
        <x:v>The Vista Văn La - Thấp tầng</x:v>
      </x:c>
      <x:c r="C12" s="78" t="n">
        <x:f>COUNTIF(SanPham!$I$2:$I$220,A12)</x:f>
        <x:v>68</x:v>
      </x:c>
      <x:c r="D12" s="78" t="n">
        <x:f>COUNTIFS(SanPham!$I$2:$I$220,A12,SanPham!$H$2:$H$220,"Còn hàng")</x:f>
        <x:v>30</x:v>
      </x:c>
      <x:c r="E12" s="78" t="n">
        <x:f>COUNTIFS(SanPham!$I$2:$I$220,A12,SanPham!$H$2:$H$220,"Đang lock")</x:f>
        <x:v>0</x:v>
      </x:c>
      <x:c r="F12" s="78" t="n">
        <x:f>COUNTIFS(SanPham!$I$2:$I$220,A12,SanPham!$H$2:$H$220,"Đã bán")</x:f>
        <x:v>38</x:v>
      </x:c>
      <x:c r="G12" s="94" t="n">
        <x:f>IFERROR(F12/C12,0)</x:f>
        <x:v>0.5588235294117647</x:v>
      </x:c>
    </x:row>
    <x:row r="13">
      <x:c r="A13" s="66" t="str">
        <x:f>DuAn!A4</x:f>
        <x:v>DA003</x:v>
      </x:c>
      <x:c r="B13" s="67" t="str">
        <x:f>DuAn!B4</x:f>
        <x:v>LUMIÈRE Hanoi Seasons Garden</x:v>
      </x:c>
      <x:c r="C13" s="78" t="n">
        <x:f>COUNTIF(SanPham!$I$2:$I$220,A13)</x:f>
        <x:v>46</x:v>
      </x:c>
      <x:c r="D13" s="78" t="n">
        <x:f>COUNTIFS(SanPham!$I$2:$I$220,A13,SanPham!$H$2:$H$220,"Còn hàng")</x:f>
        <x:v>0</x:v>
      </x:c>
      <x:c r="E13" s="78" t="n">
        <x:f>COUNTIFS(SanPham!$I$2:$I$220,A13,SanPham!$H$2:$H$220,"Đang lock")</x:f>
        <x:v>0</x:v>
      </x:c>
      <x:c r="F13" s="78" t="n">
        <x:f>COUNTIFS(SanPham!$I$2:$I$220,A13,SanPham!$H$2:$H$220,"Đã bán")</x:f>
        <x:v>1</x:v>
      </x:c>
      <x:c r="G13" s="94" t="n">
        <x:f>IFERROR(F13/C13,0)</x:f>
        <x:v>0.021739130434782608</x:v>
      </x:c>
    </x:row>
    <x:row r="14">
      <x:c r="A14" s="66" t="str">
        <x:f>DuAn!A5</x:f>
        <x:v>DA004</x:v>
      </x:c>
      <x:c r="B14" s="67" t="str">
        <x:f>DuAn!B5</x:f>
        <x:v>Masteri Grand Coast</x:v>
      </x:c>
      <x:c r="C14" s="78" t="n">
        <x:f>COUNTIF(SanPham!$I$2:$I$220,A14)</x:f>
        <x:v>60</x:v>
      </x:c>
      <x:c r="D14" s="78" t="n">
        <x:f>COUNTIFS(SanPham!$I$2:$I$220,A14,SanPham!$H$2:$H$220,"Còn hàng")</x:f>
        <x:v>0</x:v>
      </x:c>
      <x:c r="E14" s="78" t="n">
        <x:f>COUNTIFS(SanPham!$I$2:$I$220,A14,SanPham!$H$2:$H$220,"Đang lock")</x:f>
        <x:v>0</x:v>
      </x:c>
      <x:c r="F14" s="78" t="n">
        <x:f>COUNTIFS(SanPham!$I$2:$I$220,A14,SanPham!$H$2:$H$220,"Đã bán")</x:f>
        <x:v>11</x:v>
      </x:c>
      <x:c r="G14" s="94" t="n">
        <x:f>IFERROR(F14/C14,0)</x:f>
        <x:v>0.18333333333333332</x:v>
      </x:c>
    </x:row>
    <x:row r="15">
      <x:c r="A15" s="66" t="str">
        <x:f>DuAn!A6</x:f>
        <x:v>DA005</x:v>
      </x:c>
      <x:c r="B15" s="67" t="str">
        <x:f>DuAn!B6</x:f>
        <x:v>Le Parc Place</x:v>
      </x:c>
      <x:c r="C15" s="78" t="n">
        <x:f>COUNTIF(SanPham!$I$2:$I$220,A15)</x:f>
        <x:v>0</x:v>
      </x:c>
      <x:c r="D15" s="78" t="n">
        <x:f>COUNTIFS(SanPham!$I$2:$I$220,A15,SanPham!$H$2:$H$220,"Còn hàng")</x:f>
        <x:v>0</x:v>
      </x:c>
      <x:c r="E15" s="78" t="n">
        <x:f>COUNTIFS(SanPham!$I$2:$I$220,A15,SanPham!$H$2:$H$220,"Đang lock")</x:f>
        <x:v>0</x:v>
      </x:c>
      <x:c r="F15" s="78" t="n">
        <x:f>COUNTIFS(SanPham!$I$2:$I$220,A15,SanPham!$H$2:$H$220,"Đã bán")</x:f>
        <x:v>0</x:v>
      </x:c>
      <x:c r="G15" s="94" t="n">
        <x:f>IFERROR(F15/C15,0)</x:f>
        <x:v>0</x:v>
      </x:c>
    </x:row>
    <x:row r="16">
      <x:c r="A16" s="69" t="str">
        <x:f>DuAn!A7</x:f>
        <x:v>DA006</x:v>
      </x:c>
      <x:c r="B16" s="70" t="str">
        <x:f>DuAn!B7</x:f>
        <x:v>Maison Privée</x:v>
      </x:c>
      <x:c r="C16" s="79" t="n">
        <x:f>COUNTIF(SanPham!$I$2:$I$220,A16)</x:f>
        <x:v>0</x:v>
      </x:c>
      <x:c r="D16" s="79" t="n">
        <x:f>COUNTIFS(SanPham!$I$2:$I$220,A16,SanPham!$H$2:$H$220,"Còn hàng")</x:f>
        <x:v>0</x:v>
      </x:c>
      <x:c r="E16" s="79" t="n">
        <x:f>COUNTIFS(SanPham!$I$2:$I$220,A16,SanPham!$H$2:$H$220,"Đang lock")</x:f>
        <x:v>0</x:v>
      </x:c>
      <x:c r="F16" s="79" t="n">
        <x:f>COUNTIFS(SanPham!$I$2:$I$220,A16,SanPham!$H$2:$H$220,"Đã bán")</x:f>
        <x:v>0</x:v>
      </x:c>
      <x:c r="G16" s="95" t="n">
        <x:f>IFERROR(F16/C16,0)</x:f>
        <x:v>0</x:v>
      </x:c>
    </x:row>
    <x:row r="17">
      <x:c r="A17" s="117" t="str">
        <x:v>TỔNG</x:v>
      </x:c>
      <x:c r="B17" s="122" t="str"/>
      <x:c r="C17" s="122" t="n">
        <x:f>SUM(C11:C16)</x:f>
        <x:v>219</x:v>
      </x:c>
      <x:c r="D17" s="122" t="n">
        <x:f>SUM(D11:D16)</x:f>
        <x:v>43</x:v>
      </x:c>
      <x:c r="E17" s="122" t="n">
        <x:f>SUM(E11:E16)</x:f>
        <x:v>0</x:v>
      </x:c>
      <x:c r="F17" s="122" t="n">
        <x:f>SUM(F11:F16)</x:f>
        <x:v>70</x:v>
      </x:c>
      <x:c r="G17" s="123" t="n">
        <x:f>IFERROR(F17/C17,0)</x:f>
        <x:v>0.319634703196347</x:v>
      </x:c>
    </x:row>
    <x:row r="19">
      <x:c r="A19" s="97"/>
      <x:c r="B19" s="97"/>
      <x:c r="C19" s="97"/>
      <x:c r="D19" s="97"/>
      <x:c r="E19" s="97"/>
      <x:c r="F19" s="97"/>
      <x:c r="G19" s="97"/>
    </x:row>
    <x:row r="22">
      <x:c r="A22" s="92"/>
      <x:c r="B22" s="92"/>
      <x:c r="C22" s="92"/>
      <x:c r="D22" s="92"/>
      <x:c r="E22" s="92"/>
      <x:c r="F22" s="92"/>
      <x:c r="G22" s="92"/>
    </x:row>
  </x:sheetData>
  <x:mergeCells>
    <x:mergeCell ref="A1:G1"/>
    <x:mergeCell ref="A2:G2"/>
    <x:mergeCell ref="A3:G3"/>
    <x:mergeCell ref="A7:G7"/>
    <x:mergeCell ref="A8:G8"/>
    <x:mergeCell ref="A19:G19"/>
    <x:mergeCell ref="A22:G22"/>
    <x:mergeCell ref="B5:C5"/>
  </x:mergeCells>
  <x:pageMargins left="0.7" right="0.7" top="0.75" bottom="0.75" header="0.3" footer="0.3"/>
  <x:drawing xmlns:r="http://schemas.openxmlformats.org/officeDocument/2006/relationships" r:id="R76f7e7f73b1a443f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6" hidden="0" customWidth="1"/>
    <x:col min="4" max="4" width="13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33" t="str">
        <x:v>CÔNG TY CỔ PHẦN BẤT ĐỘNG SẢN AHS</x:v>
      </x:c>
      <x:c r="B1" s="33"/>
      <x:c r="C1" s="33"/>
      <x:c r="D1" s="33"/>
      <x:c r="E1" s="33"/>
      <x:c r="F1" s="33"/>
      <x:c r="G1" s="33"/>
    </x:row>
    <x:row r="2" ht="24" customHeight="1">
      <x:c r="A2" s="37" t="str">
        <x:v>Địa chỉ: Tầng 4, Tòa nhà The Legend Tower, số 109 Nguyễn Tuân, Phường Thanh Xuân, Thành phố Hà Nội, Việt Nam</x:v>
      </x:c>
      <x:c r="B2" s="37"/>
      <x:c r="C2" s="37"/>
      <x:c r="D2" s="37"/>
      <x:c r="E2" s="37"/>
      <x:c r="F2" s="37"/>
      <x:c r="G2" s="37"/>
    </x:row>
    <x:row r="3">
      <x:c r="A3" s="39" t="str">
        <x:v>Điện thoại: 0964960955</x:v>
      </x:c>
      <x:c r="B3" s="39"/>
      <x:c r="C3" s="39"/>
      <x:c r="D3" s="39"/>
      <x:c r="E3" s="39"/>
      <x:c r="F3" s="39"/>
      <x:c r="G3" s="39"/>
    </x:row>
    <x:row r="4">
      <x:c r="A4" s="40" t="str">
        <x:v>Người tạo</x:v>
      </x:c>
      <x:c r="B4" t="str">
        <x:v>Hoàng Thị Hương Giang</x:v>
      </x:c>
      <x:c r="D4" s="40" t="str">
        <x:v>Ngày tạo</x:v>
      </x:c>
      <x:c r="E4" s="41" t="n">
        <x:v>46270</x:v>
      </x:c>
    </x:row>
    <x:row r="5">
      <x:c r="A5" s="40" t="str">
        <x:v>Thời gian thống kê</x:v>
      </x:c>
      <x:c r="B5" s="129" t="str">
        <x:v>01/01/2026 - 31/08/2026</x:v>
      </x:c>
      <x:c r="C5" s="129"/>
    </x:row>
    <x:row r="7" ht="28" customHeight="1">
      <x:c r="A7" s="44" t="str">
        <x:v>BÁO CÁO DOANH SỐ CÁ NHÂN NHÂN VIÊN KINH DOANH</x:v>
      </x:c>
      <x:c r="B7" s="44"/>
      <x:c r="C7" s="44"/>
      <x:c r="D7" s="44"/>
      <x:c r="E7" s="44"/>
      <x:c r="F7" s="44"/>
      <x:c r="G7" s="44"/>
    </x:row>
    <x:row r="8">
      <x:c r="A8" s="47" t="str">
        <x:v>Tổng hợp kết quả bán hàng theo từng cá nhân thuộc bộ phận kinh doanh</x:v>
      </x:c>
      <x:c r="B8" s="47"/>
      <x:c r="C8" s="47"/>
      <x:c r="D8" s="47"/>
      <x:c r="E8" s="47"/>
      <x:c r="F8" s="47"/>
      <x:c r="G8" s="47"/>
    </x:row>
    <x:row r="10" ht="28" customHeight="1">
      <x:c r="A10" s="104" t="str">
        <x:v>Mã NV</x:v>
      </x:c>
      <x:c r="B10" s="105" t="str">
        <x:v>Họ tên nhân viên</x:v>
      </x:c>
      <x:c r="C10" s="105" t="str">
        <x:v>Chức vụ</x:v>
      </x:c>
      <x:c r="D10" s="105" t="str">
        <x:v>Số hợp đồng</x:v>
      </x:c>
      <x:c r="E10" s="105" t="str">
        <x:v>Tổng doanh số</x:v>
      </x:c>
      <x:c r="F10" s="105" t="str">
        <x:v>Tổng hoa hồng</x:v>
      </x:c>
      <x:c r="G10" s="106" t="str">
        <x:v>Doanh số/HĐ</x:v>
      </x:c>
    </x:row>
    <x:row r="11">
      <x:c r="A11" s="63" t="str">
        <x:v>NV001</x:v>
      </x:c>
      <x:c r="B11" s="64" t="str">
        <x:v>Nguyễn Minh Khôi</x:v>
      </x:c>
      <x:c r="C11" s="64" t="str">
        <x:v>Chuyên viên kinh doanh</x:v>
      </x:c>
      <x:c r="D11" s="77" t="n">
        <x:f>COUNTIFS(HopDong!$Q$2:$Q$61,A11,HopDong!$J$2:$J$61,"&gt;="&amp;DATE(2026,1,1),HopDong!$J$2:$J$61,"&lt;"&amp;DATE(2026,9,1))</x:f>
        <x:v>7</x:v>
      </x:c>
      <x:c r="E11" s="81" t="n">
        <x:f>SUMIFS(HopDong!$L$2:$L$61,HopDong!$Q$2:$Q$61,A11,HopDong!$J$2:$J$61,"&gt;="&amp;DATE(2026,1,1),HopDong!$J$2:$J$61,"&lt;"&amp;DATE(2026,9,1))</x:f>
        <x:v>67071763344</x:v>
      </x:c>
      <x:c r="F11" s="81" t="n">
        <x:f>SUMIFS(HopDong!$M$2:$M$61,HopDong!$Q$2:$Q$61,A11,HopDong!$J$2:$J$61,"&gt;="&amp;DATE(2026,1,1),HopDong!$J$2:$J$61,"&lt;"&amp;DATE(2026,9,1))</x:f>
        <x:v>670717634</x:v>
      </x:c>
      <x:c r="G11" s="89" t="n">
        <x:f>IFERROR(E11/D11,0)</x:f>
        <x:v>9581680477.714285</x:v>
      </x:c>
    </x:row>
    <x:row r="12">
      <x:c r="A12" s="66" t="str">
        <x:v>NV002</x:v>
      </x:c>
      <x:c r="B12" s="67" t="str">
        <x:v>Trần Thu Hà</x:v>
      </x:c>
      <x:c r="C12" s="67" t="str">
        <x:v>Chuyên viên kinh doanh</x:v>
      </x:c>
      <x:c r="D12" s="78" t="n">
        <x:f>COUNTIFS(HopDong!$Q$2:$Q$61,A12,HopDong!$J$2:$J$61,"&gt;="&amp;DATE(2026,1,1),HopDong!$J$2:$J$61,"&lt;"&amp;DATE(2026,9,1))</x:f>
        <x:v>7</x:v>
      </x:c>
      <x:c r="E12" s="82" t="n">
        <x:f>SUMIFS(HopDong!$L$2:$L$61,HopDong!$Q$2:$Q$61,A12,HopDong!$J$2:$J$61,"&gt;="&amp;DATE(2026,1,1),HopDong!$J$2:$J$61,"&lt;"&amp;DATE(2026,9,1))</x:f>
        <x:v>138127758763</x:v>
      </x:c>
      <x:c r="F12" s="82" t="n">
        <x:f>SUMIFS(HopDong!$M$2:$M$61,HopDong!$Q$2:$Q$61,A12,HopDong!$J$2:$J$61,"&gt;="&amp;DATE(2026,1,1),HopDong!$J$2:$J$61,"&lt;"&amp;DATE(2026,9,1))</x:f>
        <x:v>1381277587</x:v>
      </x:c>
      <x:c r="G12" s="98" t="n">
        <x:f>IFERROR(E12/D12,0)</x:f>
        <x:v>19732536966.142857</x:v>
      </x:c>
    </x:row>
    <x:row r="13">
      <x:c r="A13" s="66" t="str">
        <x:v>NV003</x:v>
      </x:c>
      <x:c r="B13" s="67" t="str">
        <x:v>Lê Hoàng Nam</x:v>
      </x:c>
      <x:c r="C13" s="67" t="str">
        <x:v>Chuyên viên kinh doanh</x:v>
      </x:c>
      <x:c r="D13" s="78" t="n">
        <x:f>COUNTIFS(HopDong!$Q$2:$Q$61,A13,HopDong!$J$2:$J$61,"&gt;="&amp;DATE(2026,1,1),HopDong!$J$2:$J$61,"&lt;"&amp;DATE(2026,9,1))</x:f>
        <x:v>7</x:v>
      </x:c>
      <x:c r="E13" s="82" t="n">
        <x:f>SUMIFS(HopDong!$L$2:$L$61,HopDong!$Q$2:$Q$61,A13,HopDong!$J$2:$J$61,"&gt;="&amp;DATE(2026,1,1),HopDong!$J$2:$J$61,"&lt;"&amp;DATE(2026,9,1))</x:f>
        <x:v>131999539259</x:v>
      </x:c>
      <x:c r="F13" s="82" t="n">
        <x:f>SUMIFS(HopDong!$M$2:$M$61,HopDong!$Q$2:$Q$61,A13,HopDong!$J$2:$J$61,"&gt;="&amp;DATE(2026,1,1),HopDong!$J$2:$J$61,"&lt;"&amp;DATE(2026,9,1))</x:f>
        <x:v>1319995392</x:v>
      </x:c>
      <x:c r="G13" s="98" t="n">
        <x:f>IFERROR(E13/D13,0)</x:f>
        <x:v>18857077037</x:v>
      </x:c>
    </x:row>
    <x:row r="14">
      <x:c r="A14" s="66" t="str">
        <x:v>NV004</x:v>
      </x:c>
      <x:c r="B14" s="67" t="str">
        <x:v>Phạm Ngọc Anh</x:v>
      </x:c>
      <x:c r="C14" s="67" t="str">
        <x:v>Chuyên viên kinh doanh</x:v>
      </x:c>
      <x:c r="D14" s="78" t="n">
        <x:f>COUNTIFS(HopDong!$Q$2:$Q$61,A14,HopDong!$J$2:$J$61,"&gt;="&amp;DATE(2026,1,1),HopDong!$J$2:$J$61,"&lt;"&amp;DATE(2026,9,1))</x:f>
        <x:v>7</x:v>
      </x:c>
      <x:c r="E14" s="82" t="n">
        <x:f>SUMIFS(HopDong!$L$2:$L$61,HopDong!$Q$2:$Q$61,A14,HopDong!$J$2:$J$61,"&gt;="&amp;DATE(2026,1,1),HopDong!$J$2:$J$61,"&lt;"&amp;DATE(2026,9,1))</x:f>
        <x:v>65479507679</x:v>
      </x:c>
      <x:c r="F14" s="82" t="n">
        <x:f>SUMIFS(HopDong!$M$2:$M$61,HopDong!$Q$2:$Q$61,A14,HopDong!$J$2:$J$61,"&gt;="&amp;DATE(2026,1,1),HopDong!$J$2:$J$61,"&lt;"&amp;DATE(2026,9,1))</x:f>
        <x:v>654795077</x:v>
      </x:c>
      <x:c r="G14" s="98" t="n">
        <x:f>IFERROR(E14/D14,0)</x:f>
        <x:v>9354215382.714285</x:v>
      </x:c>
    </x:row>
    <x:row r="15">
      <x:c r="A15" s="66" t="str">
        <x:v>NV005</x:v>
      </x:c>
      <x:c r="B15" s="67" t="str">
        <x:v>Đỗ Quang Huy</x:v>
      </x:c>
      <x:c r="C15" s="67" t="str">
        <x:v>Chuyên viên kinh doanh</x:v>
      </x:c>
      <x:c r="D15" s="78" t="n">
        <x:f>COUNTIFS(HopDong!$Q$2:$Q$61,A15,HopDong!$J$2:$J$61,"&gt;="&amp;DATE(2026,1,1),HopDong!$J$2:$J$61,"&lt;"&amp;DATE(2026,9,1))</x:f>
        <x:v>7</x:v>
      </x:c>
      <x:c r="E15" s="82" t="n">
        <x:f>SUMIFS(HopDong!$L$2:$L$61,HopDong!$Q$2:$Q$61,A15,HopDong!$J$2:$J$61,"&gt;="&amp;DATE(2026,1,1),HopDong!$J$2:$J$61,"&lt;"&amp;DATE(2026,9,1))</x:f>
        <x:v>127112955861</x:v>
      </x:c>
      <x:c r="F15" s="82" t="n">
        <x:f>SUMIFS(HopDong!$M$2:$M$61,HopDong!$Q$2:$Q$61,A15,HopDong!$J$2:$J$61,"&gt;="&amp;DATE(2026,1,1),HopDong!$J$2:$J$61,"&lt;"&amp;DATE(2026,9,1))</x:f>
        <x:v>1271129559</x:v>
      </x:c>
      <x:c r="G15" s="98" t="n">
        <x:f>IFERROR(E15/D15,0)</x:f>
        <x:v>18158993694.42857</x:v>
      </x:c>
    </x:row>
    <x:row r="16">
      <x:c r="A16" s="66" t="str">
        <x:v>NV006</x:v>
      </x:c>
      <x:c r="B16" s="67" t="str">
        <x:v>Bùi Khánh Linh</x:v>
      </x:c>
      <x:c r="C16" s="67" t="str">
        <x:v>Trưởng nhóm kinh doanh</x:v>
      </x:c>
      <x:c r="D16" s="78" t="n">
        <x:f>COUNTIFS(HopDong!$Q$2:$Q$61,A16,HopDong!$J$2:$J$61,"&gt;="&amp;DATE(2026,1,1),HopDong!$J$2:$J$61,"&lt;"&amp;DATE(2026,9,1))</x:f>
        <x:v>7</x:v>
      </x:c>
      <x:c r="E16" s="82" t="n">
        <x:f>SUMIFS(HopDong!$L$2:$L$61,HopDong!$Q$2:$Q$61,A16,HopDong!$J$2:$J$61,"&gt;="&amp;DATE(2026,1,1),HopDong!$J$2:$J$61,"&lt;"&amp;DATE(2026,9,1))</x:f>
        <x:v>113450046036</x:v>
      </x:c>
      <x:c r="F16" s="82" t="n">
        <x:f>SUMIFS(HopDong!$M$2:$M$61,HopDong!$Q$2:$Q$61,A16,HopDong!$J$2:$J$61,"&gt;="&amp;DATE(2026,1,1),HopDong!$J$2:$J$61,"&lt;"&amp;DATE(2026,9,1))</x:f>
        <x:v>1134500460</x:v>
      </x:c>
      <x:c r="G16" s="98" t="n">
        <x:f>IFERROR(E16/D16,0)</x:f>
        <x:v>16207149433.714285</x:v>
      </x:c>
    </x:row>
    <x:row r="17">
      <x:c r="A17" s="66" t="str">
        <x:v>NV011</x:v>
      </x:c>
      <x:c r="B17" s="67" t="str">
        <x:v>Đặng Minh Anh</x:v>
      </x:c>
      <x:c r="C17" s="67" t="str">
        <x:v>Chuyên viên kinh doanh</x:v>
      </x:c>
      <x:c r="D17" s="78" t="n">
        <x:f>COUNTIFS(HopDong!$Q$2:$Q$61,A17,HopDong!$J$2:$J$61,"&gt;="&amp;DATE(2026,1,1),HopDong!$J$2:$J$61,"&lt;"&amp;DATE(2026,9,1))</x:f>
        <x:v>6</x:v>
      </x:c>
      <x:c r="E17" s="82" t="n">
        <x:f>SUMIFS(HopDong!$L$2:$L$61,HopDong!$Q$2:$Q$61,A17,HopDong!$J$2:$J$61,"&gt;="&amp;DATE(2026,1,1),HopDong!$J$2:$J$61,"&lt;"&amp;DATE(2026,9,1))</x:f>
        <x:v>44828736699</x:v>
      </x:c>
      <x:c r="F17" s="82" t="n">
        <x:f>SUMIFS(HopDong!$M$2:$M$61,HopDong!$Q$2:$Q$61,A17,HopDong!$J$2:$J$61,"&gt;="&amp;DATE(2026,1,1),HopDong!$J$2:$J$61,"&lt;"&amp;DATE(2026,9,1))</x:f>
        <x:v>448287368</x:v>
      </x:c>
      <x:c r="G17" s="98" t="n">
        <x:f>IFERROR(E17/D17,0)</x:f>
        <x:v>7471456116.5</x:v>
      </x:c>
    </x:row>
    <x:row r="18">
      <x:c r="A18" s="66" t="str">
        <x:v>NV012</x:v>
      </x:c>
      <x:c r="B18" s="67" t="str">
        <x:v>Phan Hải Yến</x:v>
      </x:c>
      <x:c r="C18" s="67" t="str">
        <x:v>Chuyên viên kinh doanh</x:v>
      </x:c>
      <x:c r="D18" s="78" t="n">
        <x:f>COUNTIFS(HopDong!$Q$2:$Q$61,A18,HopDong!$J$2:$J$61,"&gt;="&amp;DATE(2026,1,1),HopDong!$J$2:$J$61,"&lt;"&amp;DATE(2026,9,1))</x:f>
        <x:v>6</x:v>
      </x:c>
      <x:c r="E18" s="82" t="n">
        <x:f>SUMIFS(HopDong!$L$2:$L$61,HopDong!$Q$2:$Q$61,A18,HopDong!$J$2:$J$61,"&gt;="&amp;DATE(2026,1,1),HopDong!$J$2:$J$61,"&lt;"&amp;DATE(2026,9,1))</x:f>
        <x:v>90786823662</x:v>
      </x:c>
      <x:c r="F18" s="82" t="n">
        <x:f>SUMIFS(HopDong!$M$2:$M$61,HopDong!$Q$2:$Q$61,A18,HopDong!$J$2:$J$61,"&gt;="&amp;DATE(2026,1,1),HopDong!$J$2:$J$61,"&lt;"&amp;DATE(2026,9,1))</x:f>
        <x:v>907868237</x:v>
      </x:c>
      <x:c r="G18" s="98" t="n">
        <x:f>IFERROR(E18/D18,0)</x:f>
        <x:v>15131137277</x:v>
      </x:c>
    </x:row>
    <x:row r="19">
      <x:c r="A19" s="69" t="str">
        <x:v>NV013</x:v>
      </x:c>
      <x:c r="B19" s="70" t="str">
        <x:v>Võ Thành Đạt</x:v>
      </x:c>
      <x:c r="C19" s="70" t="str">
        <x:v>Chuyên viên kinh doanh</x:v>
      </x:c>
      <x:c r="D19" s="79" t="n">
        <x:f>COUNTIFS(HopDong!$Q$2:$Q$61,A19,HopDong!$J$2:$J$61,"&gt;="&amp;DATE(2026,1,1),HopDong!$J$2:$J$61,"&lt;"&amp;DATE(2026,9,1))</x:f>
        <x:v>6</x:v>
      </x:c>
      <x:c r="E19" s="83" t="n">
        <x:f>SUMIFS(HopDong!$L$2:$L$61,HopDong!$Q$2:$Q$61,A19,HopDong!$J$2:$J$61,"&gt;="&amp;DATE(2026,1,1),HopDong!$J$2:$J$61,"&lt;"&amp;DATE(2026,9,1))</x:f>
        <x:v>122560214818</x:v>
      </x:c>
      <x:c r="F19" s="83" t="n">
        <x:f>SUMIFS(HopDong!$M$2:$M$61,HopDong!$Q$2:$Q$61,A19,HopDong!$J$2:$J$61,"&gt;="&amp;DATE(2026,1,1),HopDong!$J$2:$J$61,"&lt;"&amp;DATE(2026,9,1))</x:f>
        <x:v>1225602148</x:v>
      </x:c>
      <x:c r="G19" s="91" t="n">
        <x:f>IFERROR(E19/D19,0)</x:f>
        <x:v>20426702469.666668</x:v>
      </x:c>
    </x:row>
    <x:row r="20">
      <x:c r="A20" s="117" t="str">
        <x:v>TỔNG</x:v>
      </x:c>
      <x:c r="B20" s="122" t="str"/>
      <x:c r="C20" s="122" t="str"/>
      <x:c r="D20" s="118" t="n">
        <x:f>SUM(D11:D19)</x:f>
        <x:v>60</x:v>
      </x:c>
      <x:c r="E20" s="119" t="n">
        <x:f>SUM(E11:E19)</x:f>
        <x:v>901417346121</x:v>
      </x:c>
      <x:c r="F20" s="119" t="n">
        <x:f>SUM(F11:F19)</x:f>
        <x:v>9014173462</x:v>
      </x:c>
      <x:c r="G20" s="128" t="n">
        <x:f>IFERROR(E20/D20,0)</x:f>
        <x:v>15023622435.35</x:v>
      </x:c>
    </x:row>
    <x:row r="21">
      <x:c r="A21" s="66"/>
      <x:c r="B21" s="67"/>
      <x:c r="C21" s="67"/>
      <x:c r="D21" s="78"/>
      <x:c r="E21" s="82"/>
      <x:c r="F21" s="82"/>
      <x:c r="G21" s="98"/>
    </x:row>
    <x:row r="22">
      <x:c r="A22" s="66"/>
      <x:c r="B22" s="67"/>
      <x:c r="C22" s="67"/>
      <x:c r="D22" s="78"/>
      <x:c r="E22" s="82"/>
      <x:c r="F22" s="82"/>
      <x:c r="G22" s="98"/>
    </x:row>
    <x:row r="23">
      <x:c r="A23" s="66"/>
      <x:c r="B23" s="67"/>
      <x:c r="C23" s="67"/>
      <x:c r="D23" s="78"/>
      <x:c r="E23" s="82"/>
      <x:c r="F23" s="82"/>
      <x:c r="G23" s="98"/>
    </x:row>
    <x:row r="24">
      <x:c r="A24" s="66"/>
      <x:c r="B24" s="67"/>
      <x:c r="C24" s="67"/>
      <x:c r="D24" s="78"/>
      <x:c r="E24" s="82"/>
      <x:c r="F24" s="82"/>
      <x:c r="G24" s="98"/>
    </x:row>
    <x:row r="25">
      <x:c r="A25" s="69"/>
      <x:c r="B25" s="70"/>
      <x:c r="C25" s="70"/>
      <x:c r="D25" s="79"/>
      <x:c r="E25" s="83"/>
      <x:c r="F25" s="83"/>
      <x:c r="G25" s="91"/>
    </x:row>
    <x:row r="26">
      <x:c r="A26" s="74"/>
      <x:c r="B26" s="75"/>
      <x:c r="C26" s="75"/>
      <x:c r="D26" s="75"/>
      <x:c r="E26" s="84"/>
      <x:c r="F26" s="84"/>
      <x:c r="G26" s="99"/>
    </x:row>
    <x:row r="28">
      <x:c r="A28" s="92"/>
      <x:c r="B28" s="92"/>
      <x:c r="C28" s="92"/>
      <x:c r="D28" s="92"/>
      <x:c r="E28" s="92"/>
      <x:c r="F28" s="92"/>
      <x:c r="G28" s="92"/>
    </x:row>
  </x:sheetData>
  <x:mergeCells>
    <x:mergeCell ref="A1:G1"/>
    <x:mergeCell ref="A2:G2"/>
    <x:mergeCell ref="A3:G3"/>
    <x:mergeCell ref="A7:G7"/>
    <x:mergeCell ref="A8:G8"/>
    <x:mergeCell ref="A28:G28"/>
    <x:mergeCell ref="B5:C5"/>
  </x:mergeCells>
  <x:pageMargins left="0.7" right="0.7" top="0.75" bottom="0.75" header="0.3" footer="0.3"/>
  <x:drawing xmlns:r="http://schemas.openxmlformats.org/officeDocument/2006/relationships" r:id="R70e7ca6b9cbe4b91"/>
</x:worksheet>
</file>