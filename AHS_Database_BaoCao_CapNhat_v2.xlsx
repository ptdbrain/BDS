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751aa4967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DauTu" sheetId="1" r:id="Rb807902f74814831"/>
    <x:sheet xmlns:r="http://schemas.openxmlformats.org/officeDocument/2006/relationships" name="DuAn" sheetId="2" r:id="R683a4ce89d294173"/>
    <x:sheet xmlns:r="http://schemas.openxmlformats.org/officeDocument/2006/relationships" name="LoaiSanPham" sheetId="3" r:id="Rbd819cd775e64855"/>
    <x:sheet xmlns:r="http://schemas.openxmlformats.org/officeDocument/2006/relationships" name="PhongBan" sheetId="4" r:id="Ra2a21ddb88be4680"/>
    <x:sheet xmlns:r="http://schemas.openxmlformats.org/officeDocument/2006/relationships" name="NhanVien" sheetId="5" r:id="Rece4f9ba5fa941d2"/>
    <x:sheet xmlns:r="http://schemas.openxmlformats.org/officeDocument/2006/relationships" name="SanPham" sheetId="6" r:id="R8a27c397124b49b4"/>
    <x:sheet xmlns:r="http://schemas.openxmlformats.org/officeDocument/2006/relationships" name="Booking" sheetId="7" r:id="Rc8ec8566eac44371"/>
    <x:sheet xmlns:r="http://schemas.openxmlformats.org/officeDocument/2006/relationships" name="LuotLock" sheetId="8" r:id="R78e525c3883f4efc"/>
    <x:sheet xmlns:r="http://schemas.openxmlformats.org/officeDocument/2006/relationships" name="HopDong" sheetId="9" r:id="R35dd1360fc1a4549"/>
    <x:sheet xmlns:r="http://schemas.openxmlformats.org/officeDocument/2006/relationships" name="BC_DoanhThu" sheetId="10" r:id="R44e74708c91d495c"/>
    <x:sheet xmlns:r="http://schemas.openxmlformats.org/officeDocument/2006/relationships" name="BC_SanPham_DuAn" sheetId="11" r:id="Re2a53dae0a924559"/>
    <x:sheet xmlns:r="http://schemas.openxmlformats.org/officeDocument/2006/relationships" name="BC_DoanhSo_NV" sheetId="12" r:id="Rfd4bbde0f5b3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&quot; ₫&quot;"/>
    <x:numFmt numFmtId="202" formatCode="dd/mm/yyyy hh:mm"/>
    <x:numFmt numFmtId="203" formatCode="dd/mm/yyyy"/>
    <x:numFmt numFmtId="204" formatCode="0"/>
    <x:numFmt numFmtId="205" formatCode="0.0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5"/>
      <x:color rgb="FF17365D"/>
      <x:name val="Carlito"/>
    </x:font>
    <x:font>
      <x:i/>
      <x:sz val="10"/>
      <x:color rgb="FF6B7280"/>
      <x:name val="Carlito"/>
    </x:font>
    <x:font>
      <x:b/>
      <x:sz val="11"/>
      <x:name val="Carlito"/>
    </x:font>
    <x:font>
      <x:i/>
      <x:sz val="9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64A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1" fontId="0" fillId="0" borderId="0" xfId="0" applyNumberFormat="1" applyFont="1" applyFill="1" applyBorder="1"/>
    <x:xf numFmtId="201" fontId="7" fillId="4" borderId="0" xfId="0" applyNumberFormat="1" applyFont="1" applyFill="1" applyBorder="1"/>
    <x:xf numFmtId="201" fontId="0" fillId="0" borderId="1" xfId="0" applyNumberFormat="1" applyFont="1" applyFill="1" applyBorder="1"/>
    <x:xf numFmtId="201" fontId="7" fillId="4" borderId="1" xfId="0" applyNumberFormat="1" applyFont="1" applyFill="1" applyBorder="1"/>
    <x:xf numFmtId="204" fontId="0" fillId="0" borderId="0" xfId="0" applyNumberFormat="1" applyFont="1" applyFill="1" applyBorder="1"/>
    <x:xf numFmtId="204" fontId="7" fillId="4" borderId="0" xfId="0" applyNumberFormat="1" applyFont="1" applyFill="1" applyBorder="1"/>
    <x:xf numFmtId="204" fontId="0" fillId="0" borderId="1" xfId="0" applyNumberFormat="1" applyFont="1" applyFill="1" applyBorder="1"/>
    <x:xf numFmtId="204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7" fillId="4" borderId="0" xfId="0" applyNumberFormat="1" applyFont="1" applyFill="1" applyBorder="1"/>
    <x:xf numFmtId="205" fontId="0" fillId="0" borderId="1" xfId="0" applyNumberFormat="1" applyFont="1" applyFill="1" applyBorder="1"/>
    <x:xf numFmtId="205" fontId="7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 wrapText="1"/>
    </x:xf>
    <x:xf numFmtId="204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4" fontId="7" fillId="4" borderId="1" xfId="0" applyNumberFormat="1" applyFont="1" applyFill="1" applyBorder="1" applyAlignment="1">
      <x:alignment vertical="center"/>
    </x:xf>
    <x:xf numFmtId="201" fontId="7" fillId="4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204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4" fontId="7" fillId="4" borderId="1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5" fontId="7" fillId="4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7" fillId="4" borderId="0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5" fontId="7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a32e3ade7498a" /><Relationship Type="http://schemas.openxmlformats.org/officeDocument/2006/relationships/theme" Target="/xl/theme/theme1.xml" Id="R590dea3199b04dbf" /><Relationship Type="http://schemas.openxmlformats.org/officeDocument/2006/relationships/sharedStrings" Target="/xl/sharedStrings.xml" Id="R9faf56a87630446c" /><Relationship Type="http://schemas.openxmlformats.org/officeDocument/2006/relationships/worksheet" Target="/xl/worksheets/sheet1.xml" Id="Rb807902f74814831" /><Relationship Type="http://schemas.openxmlformats.org/officeDocument/2006/relationships/worksheet" Target="/xl/worksheets/sheet2.xml" Id="R683a4ce89d294173" /><Relationship Type="http://schemas.openxmlformats.org/officeDocument/2006/relationships/worksheet" Target="/xl/worksheets/sheet3.xml" Id="Rbd819cd775e64855" /><Relationship Type="http://schemas.openxmlformats.org/officeDocument/2006/relationships/worksheet" Target="/xl/worksheets/sheet4.xml" Id="Ra2a21ddb88be4680" /><Relationship Type="http://schemas.openxmlformats.org/officeDocument/2006/relationships/worksheet" Target="/xl/worksheets/sheet5.xml" Id="Rece4f9ba5fa941d2" /><Relationship Type="http://schemas.openxmlformats.org/officeDocument/2006/relationships/worksheet" Target="/xl/worksheets/sheet6.xml" Id="R8a27c397124b49b4" /><Relationship Type="http://schemas.openxmlformats.org/officeDocument/2006/relationships/worksheet" Target="/xl/worksheets/sheet7.xml" Id="Rc8ec8566eac44371" /><Relationship Type="http://schemas.openxmlformats.org/officeDocument/2006/relationships/worksheet" Target="/xl/worksheets/sheet8.xml" Id="R78e525c3883f4efc" /><Relationship Type="http://schemas.openxmlformats.org/officeDocument/2006/relationships/worksheet" Target="/xl/worksheets/sheet9.xml" Id="R35dd1360fc1a4549" /><Relationship Type="http://schemas.openxmlformats.org/officeDocument/2006/relationships/worksheet" Target="/xl/worksheets/sheet10.xml" Id="R44e74708c91d495c" /><Relationship Type="http://schemas.openxmlformats.org/officeDocument/2006/relationships/worksheet" Target="/xl/worksheets/sheet11.xml" Id="Re2a53dae0a924559" /><Relationship Type="http://schemas.openxmlformats.org/officeDocument/2006/relationships/worksheet" Target="/xl/worksheets/sheet12.xml" Id="Rfd4bbde0f5b341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ddc2870fed49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daa370a3676437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9e564c02665415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Doanh thu AHS</c:v>
          </c:tx>
          <c:cat>
            <c:strRef>
              <c:f>'BC_DoanhThu'!$A$11:$A$18</c:f>
              <c:strCache>
                <c:ptCount val="0"/>
              </c:strCache>
            </c:strRef>
          </c:cat>
          <c:val>
            <c:numRef>
              <c:f>'BC_DoanhThu'!$D$11:$D$18</c:f>
              <c:numCache>
                <c:formatCode>#,##0,,," tỷ"</c:formatCode>
                <c:ptCount val="0"/>
              </c:numCache>
            </c:numRef>
          </c:val>
        </c:ser>
        <c:ser>
          <c:idx val="1"/>
          <c:order val="1"/>
          <c:tx>
            <c:v>Hoa hồng NVKD</c:v>
          </c:tx>
          <c:cat>
            <c:strRef>
              <c:f>'BC_DoanhThu'!$A$11:$A$18</c:f>
              <c:strCache>
                <c:ptCount val="0"/>
              </c:strCache>
            </c:strRef>
          </c:cat>
          <c:val>
            <c:numRef>
              <c:f>'BC_DoanhThu'!$E$11:$E$18</c:f>
              <c:numCache>
                <c:formatCode>#,##0,,," tỷ"</c:formatCode>
                <c:ptCount val="0"/>
              </c:numCache>
            </c:numRef>
          </c:val>
        </c:ser>
        <c:ser>
          <c:idx val="2"/>
          <c:order val="2"/>
          <c:tx>
            <c:v>Doanh thu sau hoa hồng</c:v>
          </c:tx>
          <c:cat>
            <c:strRef>
              <c:f>'BC_DoanhThu'!$A$11:$A$18</c:f>
              <c:strCache>
                <c:ptCount val="0"/>
              </c:strCache>
            </c:strRef>
          </c:cat>
          <c:val>
            <c:numRef>
              <c:f>'BC_DoanhThu'!$F$11:$F$18</c:f>
              <c:numCache>
                <c:formatCode>#,##0,,," tỷ"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,&quot; tỷ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Cơ cấu quỹ hàng theo dự án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Tổng sản phẩm</c:v>
          </c:tx>
          <c:cat>
            <c:strRef>
              <c:f>'BC_SanPham_DuAn'!$B$11:$B$16</c:f>
              <c:strCache>
                <c:ptCount val="0"/>
              </c:strCache>
            </c:strRef>
          </c:cat>
          <c:val>
            <c:numRef>
              <c:f>'BC_SanPham_DuAn'!$C$11:$C$16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Còn hàng</c:v>
          </c:tx>
          <c:cat>
            <c:strRef>
              <c:f>'BC_SanPham_DuAn'!$B$11:$B$16</c:f>
              <c:strCache>
                <c:ptCount val="0"/>
              </c:strCache>
            </c:strRef>
          </c:cat>
          <c:val>
            <c:numRef>
              <c:f>'BC_SanPham_DuAn'!$D$11:$D$16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Đang lock</c:v>
          </c:tx>
          <c:cat>
            <c:strRef>
              <c:f>'BC_SanPham_DuAn'!$B$11:$B$16</c:f>
              <c:strCache>
                <c:ptCount val="0"/>
              </c:strCache>
            </c:strRef>
          </c:cat>
          <c:val>
            <c:numRef>
              <c:f>'BC_SanPham_DuAn'!$E$11:$E$16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Đã bán</c:v>
          </c:tx>
          <c:cat>
            <c:strRef>
              <c:f>'BC_SanPham_DuAn'!$B$11:$B$16</c:f>
              <c:strCache>
                <c:ptCount val="0"/>
              </c:strCache>
            </c:strRef>
          </c:cat>
          <c:val>
            <c:numRef>
              <c:f>'BC_SanPham_DuAn'!$F$11:$F$16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Doanh số theo nhân viên kinh doanh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Chức vụ</c:v>
          </c:tx>
          <c:cat>
            <c:strRef>
              <c:f>'BC_DoanhSo_NV'!$B$11:$B$19</c:f>
              <c:strCache>
                <c:ptCount val="0"/>
              </c:strCache>
            </c:strRef>
          </c:cat>
          <c:val>
            <c:numRef>
              <c:f>'BC_DoanhSo_NV'!$C$11:$C$19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Số GD cọc thành công</c:v>
          </c:tx>
          <c:cat>
            <c:strRef>
              <c:f>'BC_DoanhSo_NV'!$B$11:$B$19</c:f>
              <c:strCache>
                <c:ptCount val="0"/>
              </c:strCache>
            </c:strRef>
          </c:cat>
          <c:val>
            <c:numRef>
              <c:f>'BC_DoanhSo_NV'!$D$11:$D$19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Tổng doanh số</c:v>
          </c:tx>
          <c:cat>
            <c:strRef>
              <c:f>'BC_DoanhSo_NV'!$B$11:$B$19</c:f>
              <c:strCache>
                <c:ptCount val="0"/>
              </c:strCache>
            </c:strRef>
          </c:cat>
          <c:val>
            <c:numRef>
              <c:f>'BC_DoanhSo_NV'!$E$11:$E$19</c:f>
              <c:numCache>
                <c:formatCode>#,##0" ₫"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ddc2870fed49e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aa370a3676437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e564c0266541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huDauTu" displayName="tblChuDauTu" ref="A1:B5" headerRowCount="1" totalsRowCount="0" totalsRowShown="0">
  <x:tableColumns count="2">
    <x:tableColumn id="1" name="MaCDT"/>
    <x:tableColumn id="2" name="TenCD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uAn" displayName="tblDuAn" ref="A1:E7" headerRowCount="1" totalsRowCount="0" totalsRowShown="0">
  <x:tableColumns count="5">
    <x:tableColumn id="1" name="MaDA"/>
    <x:tableColumn id="2" name="TenDA"/>
    <x:tableColumn id="3" name="DiaDiem"/>
    <x:tableColumn id="4" name="TrangThaiDA"/>
    <x:tableColumn id="5" name="MaCD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LoaiSanPham" displayName="tblLoaiSanPham" ref="A1:B15" headerRowCount="1" totalsRowCount="0" totalsRowShown="0">
  <x:tableColumns count="2">
    <x:tableColumn id="1" name="MaLoaisanpham"/>
    <x:tableColumn id="2" name="LoaiSanpha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hongBan" displayName="tblPhongBan" ref="A1:B5" headerRowCount="1" totalsRowCount="0" totalsRowShown="0">
  <x:tableColumns count="2">
    <x:tableColumn id="1" name="MaPhongban"/>
    <x:tableColumn id="2" name="TenPhongb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NhanVien" displayName="tblNhanVien" ref="A1:F17" headerRowCount="1" totalsRowCount="0" totalsRowShown="0">
  <x:tableColumns count="6">
    <x:tableColumn id="1" name="MaNV"/>
    <x:tableColumn id="2" name="ChucVu"/>
    <x:tableColumn id="3" name="SoDienThoaiNV"/>
    <x:tableColumn id="4" name="HoTenNV"/>
    <x:tableColumn id="5" name="MaPhongban"/>
    <x:tableColumn id="6" name="VaiTr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anPham" displayName="tblSanPham" ref="A1:J220" headerRowCount="1" totalsRowCount="0" totalsRowShown="0">
  <x:tableColumns count="10">
    <x:tableColumn id="1" name="MaCan"/>
    <x:tableColumn id="2" name="DienTich"/>
    <x:tableColumn id="3" name="Huong"/>
    <x:tableColumn id="4" name="GiaNiemYet"/>
    <x:tableColumn id="5" name="GiaTTS"/>
    <x:tableColumn id="6" name="GiaTTC"/>
    <x:tableColumn id="7" name="GiaVay"/>
    <x:tableColumn id="8" name="TrangThai"/>
    <x:tableColumn id="9" name="MaDA"/>
    <x:tableColumn id="10" name="MaLoaisanpha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Booking" displayName="tblBooking" ref="A1:H49" headerRowCount="1" totalsRowCount="0" totalsRowShown="0">
  <x:tableColumns count="8">
    <x:tableColumn id="1" name="MaLuotBooking"/>
    <x:tableColumn id="2" name="TGBooking"/>
    <x:tableColumn id="3" name="STTBooking"/>
    <x:tableColumn id="4" name="TGBatDauKhopCan"/>
    <x:tableColumn id="5" name="TGKetThucKhopCan"/>
    <x:tableColumn id="6" name="TrangThaiKhopCan"/>
    <x:tableColumn id="7" name="MaDA"/>
    <x:tableColumn id="8" name="MaNV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LuotLock" displayName="tblLuotLock" ref="A1:H77" headerRowCount="1" totalsRowCount="0" totalsRowShown="0">
  <x:tableColumns count="8">
    <x:tableColumn id="1" name="MaLock"/>
    <x:tableColumn id="2" name="ThoiGianBatDau"/>
    <x:tableColumn id="3" name="ThoiGianKetThuc"/>
    <x:tableColumn id="4" name="SoTienCoc"/>
    <x:tableColumn id="5" name="TrangThaiGiaoDich"/>
    <x:tableColumn id="6" name="ThoiGianCoc"/>
    <x:tableColumn id="7" name="MaCan"/>
    <x:tableColumn id="8" name="MaNV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HopDong" displayName="tblHopDong" ref="A1:O61" headerRowCount="1" totalsRowCount="0" totalsRowShown="0">
  <x:tableColumns count="15">
    <x:tableColumn id="1" name="MaHopDong"/>
    <x:tableColumn id="2" name="SoDienThoaiKH"/>
    <x:tableColumn id="3" name="CCCDKH"/>
    <x:tableColumn id="4" name="EmailKH"/>
    <x:tableColumn id="5" name="DiaChiKH"/>
    <x:tableColumn id="6" name="HoTenKH"/>
    <x:tableColumn id="7" name="PhuongThanhToan"/>
    <x:tableColumn id="8" name="GiaHopDong"/>
    <x:tableColumn id="9" name="ThoiGianKyHDMB"/>
    <x:tableColumn id="10" name="TrangThaiHDMB"/>
    <x:tableColumn id="11" name="DoanhThu"/>
    <x:tableColumn id="12" name="HoaHong"/>
    <x:tableColumn id="13" name="GhiChu"/>
    <x:tableColumn id="14" name="MaCan"/>
    <x:tableColumn id="15" name="MaN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f4d197fb584f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2a989779104e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494bcf1e24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c54e0acaba4e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5089da6bd04d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5bf071845f45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ef9ca26fcae4e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d839be71ba44b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87898fec0c44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80629f9faca945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ef541c7dcabd4b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3fbac584502b4e5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</x:cols>
  <x:sheetData>
    <x:row r="1" ht="24" customHeight="1">
      <x:c r="A1" s="10" t="str">
        <x:v>MaCDT</x:v>
      </x:c>
      <x:c r="B1" s="10" t="str">
        <x:v>TenCDT</x:v>
      </x:c>
    </x:row>
    <x:row r="2" ht="20" customHeight="1">
      <x:c r="A2" s="14" t="str">
        <x:v>CDT001</x:v>
      </x:c>
      <x:c r="B2" s="14" t="str">
        <x:v>SJ Group</x:v>
      </x:c>
    </x:row>
    <x:row r="3" ht="20" customHeight="1">
      <x:c r="A3" s="14" t="str">
        <x:v>CDT002</x:v>
      </x:c>
      <x:c r="B3" s="14" t="str">
        <x:v>Masterise Homes</x:v>
      </x:c>
    </x:row>
    <x:row r="4" ht="20" customHeight="1">
      <x:c r="A4" s="14" t="str">
        <x:v>CDT003</x:v>
      </x:c>
      <x:c r="B4" s="14" t="str">
        <x:v>ParkCity Hà Nội</x:v>
      </x:c>
    </x:row>
    <x:row r="5" ht="20" customHeight="1">
      <x:c r="A5" s="14" t="str">
        <x:v>CDT004</x:v>
      </x:c>
      <x:c r="B5" s="14" t="str">
        <x:v>CapitaLand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caf4d197fb584f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4" hidden="0" customWidth="1"/>
    <x:col min="4" max="4" width="18" hidden="0" customWidth="1"/>
    <x:col min="5" max="5" width="12" hidden="0" customWidth="1"/>
  </x:cols>
  <x:sheetData>
    <x:row r="1" ht="24" customHeight="1">
      <x:c r="A1" s="10" t="str">
        <x:v>MaDA</x:v>
      </x:c>
      <x:c r="B1" s="10" t="str">
        <x:v>TenDA</x:v>
      </x:c>
      <x:c r="C1" s="10" t="str">
        <x:v>DiaDiem</x:v>
      </x:c>
      <x:c r="D1" s="10" t="str">
        <x:v>TrangThaiDA</x:v>
      </x:c>
      <x:c r="E1" s="10" t="str">
        <x:v>MaCDT</x:v>
      </x:c>
    </x:row>
    <x:row r="2" ht="20" customHeight="1">
      <x:c r="A2" s="14" t="str">
        <x:v>DA001</x:v>
      </x:c>
      <x:c r="B2" s="14" t="str">
        <x:v>The Vista Văn La - Cao tầng</x:v>
      </x:c>
      <x:c r="C2" s="14" t="str">
        <x:v>Văn La, Hà Đông, Hà Nội</x:v>
      </x:c>
      <x:c r="D2" s="14" t="str">
        <x:v>Đang mở bán</x:v>
      </x:c>
      <x:c r="E2" s="14" t="str">
        <x:v>CDT001</x:v>
      </x:c>
    </x:row>
    <x:row r="3" ht="20" customHeight="1">
      <x:c r="A3" s="14" t="str">
        <x:v>DA002</x:v>
      </x:c>
      <x:c r="B3" s="14" t="str">
        <x:v>The Vista Văn La - Thấp tầng</x:v>
      </x:c>
      <x:c r="C3" s="14" t="str">
        <x:v>Văn La, Hà Đông, Hà Nội</x:v>
      </x:c>
      <x:c r="D3" s="14" t="str">
        <x:v>Đang mở bán</x:v>
      </x:c>
      <x:c r="E3" s="14" t="str">
        <x:v>CDT001</x:v>
      </x:c>
    </x:row>
    <x:row r="4" ht="20" customHeight="1">
      <x:c r="A4" s="14" t="str">
        <x:v>DA003</x:v>
      </x:c>
      <x:c r="B4" s="14" t="str">
        <x:v>LUMIÈRE Hanoi Seasons Garden</x:v>
      </x:c>
      <x:c r="C4" s="14" t="str">
        <x:v>Cao Xà Lá, Hà Nội</x:v>
      </x:c>
      <x:c r="D4" s="14" t="str">
        <x:v>Đang mở bán</x:v>
      </x:c>
      <x:c r="E4" s="14" t="str">
        <x:v>CDT002</x:v>
      </x:c>
    </x:row>
    <x:row r="5" ht="20" customHeight="1">
      <x:c r="A5" s="14" t="str">
        <x:v>DA004</x:v>
      </x:c>
      <x:c r="B5" s="14" t="str">
        <x:v>Masteri Grand Coast</x:v>
      </x:c>
      <x:c r="C5" s="14" t="str">
        <x:v>Ocean Park 2, Ocean City, Hà Nội</x:v>
      </x:c>
      <x:c r="D5" s="14" t="str">
        <x:v>Đang mở bán</x:v>
      </x:c>
      <x:c r="E5" s="14" t="str">
        <x:v>CDT002</x:v>
      </x:c>
    </x:row>
    <x:row r="6" ht="20" customHeight="1">
      <x:c r="A6" s="14" t="str">
        <x:v>DA005</x:v>
      </x:c>
      <x:c r="B6" s="14" t="str">
        <x:v>Le Parc Place</x:v>
      </x:c>
      <x:c r="C6" s="14" t="str">
        <x:v>KĐT ParkCity Hanoi, đường Lê Trọng Tấn, Dương Nội, Hà Nội</x:v>
      </x:c>
      <x:c r="D6" s="14" t="str">
        <x:v>Sắp mở bán</x:v>
      </x:c>
      <x:c r="E6" s="14" t="str">
        <x:v>CDT003</x:v>
      </x:c>
    </x:row>
    <x:row r="7" ht="20" customHeight="1">
      <x:c r="A7" s="14" t="str">
        <x:v>DA006</x:v>
      </x:c>
      <x:c r="B7" s="14" t="str">
        <x:v>Maison Privée</x:v>
      </x:c>
      <x:c r="C7" s="14" t="str">
        <x:v>KĐT Ciputra, Tây Hồ, Hà Nội</x:v>
      </x:c>
      <x:c r="D7" s="14" t="str">
        <x:v>Sắp mở bán</x:v>
      </x:c>
      <x:c r="E7" s="14" t="str">
        <x:v>CDT004</x:v>
      </x:c>
    </x:row>
  </x:sheetData>
  <x:pageMargins left="0.7" right="0.7" top="0.75" bottom="0.75" header="0.3" footer="0.3"/>
  <x:tableParts count="1">
    <x:tablePart xmlns:r="http://schemas.openxmlformats.org/officeDocument/2006/relationships" r:id="R382a989779104e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</x:cols>
  <x:sheetData>
    <x:row r="1" ht="24" customHeight="1">
      <x:c r="A1" s="10" t="str">
        <x:v>MaLoaisanpham</x:v>
      </x:c>
      <x:c r="B1" s="10" t="str">
        <x:v>LoaiSanpham</x:v>
      </x:c>
    </x:row>
    <x:row r="2" ht="20" customHeight="1">
      <x:c r="A2" s="14" t="str">
        <x:v>LSP001</x:v>
      </x:c>
      <x:c r="B2" s="14" t="str">
        <x:v>STUDIO</x:v>
      </x:c>
    </x:row>
    <x:row r="3" ht="20" customHeight="1">
      <x:c r="A3" s="14" t="str">
        <x:v>LSP002</x:v>
      </x:c>
      <x:c r="B3" s="14" t="str">
        <x:v>1BR</x:v>
      </x:c>
    </x:row>
    <x:row r="4" ht="20" customHeight="1">
      <x:c r="A4" s="14" t="str">
        <x:v>LSP003</x:v>
      </x:c>
      <x:c r="B4" s="14" t="str">
        <x:v>1BR+</x:v>
      </x:c>
    </x:row>
    <x:row r="5" ht="20" customHeight="1">
      <x:c r="A5" s="14" t="str">
        <x:v>LSP004</x:v>
      </x:c>
      <x:c r="B5" s="14" t="str">
        <x:v>1BR+1MR</x:v>
      </x:c>
    </x:row>
    <x:row r="6" ht="20" customHeight="1">
      <x:c r="A6" s="14" t="str">
        <x:v>LSP005</x:v>
      </x:c>
      <x:c r="B6" s="14" t="str">
        <x:v>2BR</x:v>
      </x:c>
    </x:row>
    <x:row r="7" ht="20" customHeight="1">
      <x:c r="A7" s="14" t="str">
        <x:v>LSP006</x:v>
      </x:c>
      <x:c r="B7" s="14" t="str">
        <x:v>2BR+</x:v>
      </x:c>
    </x:row>
    <x:row r="8" ht="20" customHeight="1">
      <x:c r="A8" s="14" t="str">
        <x:v>LSP007</x:v>
      </x:c>
      <x:c r="B8" s="14" t="str">
        <x:v>2BR+1MR</x:v>
      </x:c>
    </x:row>
    <x:row r="9" ht="20" customHeight="1">
      <x:c r="A9" s="14" t="str">
        <x:v>LSP008</x:v>
      </x:c>
      <x:c r="B9" s="14" t="str">
        <x:v>3BR</x:v>
      </x:c>
    </x:row>
    <x:row r="10" ht="20" customHeight="1">
      <x:c r="A10" s="14" t="str">
        <x:v>LSP009</x:v>
      </x:c>
      <x:c r="B10" s="14" t="str">
        <x:v>3BR+1MR</x:v>
      </x:c>
    </x:row>
    <x:row r="11" ht="20" customHeight="1">
      <x:c r="A11" s="14" t="str">
        <x:v>LSP010</x:v>
      </x:c>
      <x:c r="B11" s="14" t="str">
        <x:v>4BR</x:v>
      </x:c>
    </x:row>
    <x:row r="12" ht="20" customHeight="1">
      <x:c r="A12" s="14" t="str">
        <x:v>LSP011</x:v>
      </x:c>
      <x:c r="B12" s="14" t="str">
        <x:v>2PN</x:v>
      </x:c>
    </x:row>
    <x:row r="13" ht="20" customHeight="1">
      <x:c r="A13" s="14" t="str">
        <x:v>LSP012</x:v>
      </x:c>
      <x:c r="B13" s="14" t="str">
        <x:v>3PN</x:v>
      </x:c>
    </x:row>
    <x:row r="14" ht="20" customHeight="1">
      <x:c r="A14" s="14" t="str">
        <x:v>LSP013</x:v>
      </x:c>
      <x:c r="B14" s="14" t="str">
        <x:v>3PN+</x:v>
      </x:c>
    </x:row>
    <x:row r="15" ht="20" customHeight="1">
      <x:c r="A15" s="14" t="str">
        <x:v>LSP014</x:v>
      </x:c>
      <x:c r="B15" s="14" t="str">
        <x:v>Liền kề</x:v>
      </x:c>
    </x:row>
  </x:sheetData>
  <x:pageMargins left="0.7" right="0.7" top="0.75" bottom="0.75" header="0.3" footer="0.3"/>
  <x:tableParts count="1">
    <x:tablePart xmlns:r="http://schemas.openxmlformats.org/officeDocument/2006/relationships" r:id="R21494bcf1e2449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</x:cols>
  <x:sheetData>
    <x:row r="1" ht="24" customHeight="1">
      <x:c r="A1" s="10" t="str">
        <x:v>MaPhongban</x:v>
      </x:c>
      <x:c r="B1" s="10" t="str">
        <x:v>TenPhongban</x:v>
      </x:c>
    </x:row>
    <x:row r="2" ht="20" customHeight="1">
      <x:c r="A2" s="14" t="str">
        <x:v>PB001</x:v>
      </x:c>
      <x:c r="B2" s="14" t="str">
        <x:v>Phòng Kinh doanh</x:v>
      </x:c>
    </x:row>
    <x:row r="3" ht="20" customHeight="1">
      <x:c r="A3" s="14" t="str">
        <x:v>PB002</x:v>
      </x:c>
      <x:c r="B3" s="14" t="str">
        <x:v>Phòng Quản lý sản phẩm</x:v>
      </x:c>
    </x:row>
    <x:row r="4" ht="20" customHeight="1">
      <x:c r="A4" s="14" t="str">
        <x:v>PB003</x:v>
      </x:c>
      <x:c r="B4" s="14" t="str">
        <x:v>Sales Admin</x:v>
      </x:c>
    </x:row>
    <x:row r="5" ht="20" customHeight="1">
      <x:c r="A5" s="14" t="str">
        <x:v>PB004</x:v>
      </x:c>
      <x:c r="B5" s="14" t="str">
        <x:v>Ban Lãnh đạo</x:v>
      </x:c>
    </x:row>
  </x:sheetData>
  <x:pageMargins left="0.7" right="0.7" top="0.75" bottom="0.75" header="0.3" footer="0.3"/>
  <x:tableParts count="1">
    <x:tablePart xmlns:r="http://schemas.openxmlformats.org/officeDocument/2006/relationships" r:id="R2bc54e0acaba4e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6" hidden="0" customWidth="1"/>
    <x:col min="4" max="4" width="25" hidden="0" customWidth="1"/>
    <x:col min="5" max="5" width="14" hidden="0" customWidth="1"/>
    <x:col min="6" max="6" width="18" hidden="0" customWidth="1"/>
  </x:cols>
  <x:sheetData>
    <x:row r="1" ht="24" customHeight="1">
      <x:c r="A1" s="10" t="str">
        <x:v>MaNV</x:v>
      </x:c>
      <x:c r="B1" s="10" t="str">
        <x:v>ChucVu</x:v>
      </x:c>
      <x:c r="C1" s="10" t="str">
        <x:v>SoDienThoaiNV</x:v>
      </x:c>
      <x:c r="D1" s="10" t="str">
        <x:v>HoTenNV</x:v>
      </x:c>
      <x:c r="E1" s="10" t="str">
        <x:v>MaPhongban</x:v>
      </x:c>
      <x:c r="F1" s="10" t="str">
        <x:v>VaiTro</x:v>
      </x:c>
    </x:row>
    <x:row r="2" ht="20" customHeight="1">
      <x:c r="A2" s="14" t="str">
        <x:v>NV001</x:v>
      </x:c>
      <x:c r="B2" s="14" t="str">
        <x:v>Chuyên viên kinh doanh</x:v>
      </x:c>
      <x:c r="C2" s="16" t="str">
        <x:v>0884533185</x:v>
      </x:c>
      <x:c r="D2" s="14" t="str">
        <x:v>Nguyễn Minh Khôi</x:v>
      </x:c>
      <x:c r="E2" s="14" t="str">
        <x:v>PB001</x:v>
      </x:c>
      <x:c r="F2" s="14" t="str">
        <x:v>NVKD</x:v>
      </x:c>
    </x:row>
    <x:row r="3" ht="20" customHeight="1">
      <x:c r="A3" s="14" t="str">
        <x:v>NV002</x:v>
      </x:c>
      <x:c r="B3" s="14" t="str">
        <x:v>Chuyên viên kinh doanh</x:v>
      </x:c>
      <x:c r="C3" s="16" t="str">
        <x:v>0339725912</x:v>
      </x:c>
      <x:c r="D3" s="14" t="str">
        <x:v>Trần Thu Hà</x:v>
      </x:c>
      <x:c r="E3" s="14" t="str">
        <x:v>PB001</x:v>
      </x:c>
      <x:c r="F3" s="14" t="str">
        <x:v>NVKD</x:v>
      </x:c>
    </x:row>
    <x:row r="4" ht="20" customHeight="1">
      <x:c r="A4" s="14" t="str">
        <x:v>NV003</x:v>
      </x:c>
      <x:c r="B4" s="14" t="str">
        <x:v>Chuyên viên kinh doanh</x:v>
      </x:c>
      <x:c r="C4" s="16" t="str">
        <x:v>0865277821</x:v>
      </x:c>
      <x:c r="D4" s="14" t="str">
        <x:v>Lê Hoàng Nam</x:v>
      </x:c>
      <x:c r="E4" s="14" t="str">
        <x:v>PB001</x:v>
      </x:c>
      <x:c r="F4" s="14" t="str">
        <x:v>NVKD</x:v>
      </x:c>
    </x:row>
    <x:row r="5" ht="20" customHeight="1">
      <x:c r="A5" s="14" t="str">
        <x:v>NV004</x:v>
      </x:c>
      <x:c r="B5" s="14" t="str">
        <x:v>Chuyên viên kinh doanh</x:v>
      </x:c>
      <x:c r="C5" s="16" t="str">
        <x:v>0391766597</x:v>
      </x:c>
      <x:c r="D5" s="14" t="str">
        <x:v>Phạm Ngọc Anh</x:v>
      </x:c>
      <x:c r="E5" s="14" t="str">
        <x:v>PB001</x:v>
      </x:c>
      <x:c r="F5" s="14" t="str">
        <x:v>NVKD</x:v>
      </x:c>
    </x:row>
    <x:row r="6" ht="20" customHeight="1">
      <x:c r="A6" s="14" t="str">
        <x:v>NV005</x:v>
      </x:c>
      <x:c r="B6" s="14" t="str">
        <x:v>Chuyên viên kinh doanh</x:v>
      </x:c>
      <x:c r="C6" s="16" t="str">
        <x:v>0973826294</x:v>
      </x:c>
      <x:c r="D6" s="14" t="str">
        <x:v>Đỗ Quang Huy</x:v>
      </x:c>
      <x:c r="E6" s="14" t="str">
        <x:v>PB001</x:v>
      </x:c>
      <x:c r="F6" s="14" t="str">
        <x:v>NVKD</x:v>
      </x:c>
    </x:row>
    <x:row r="7" ht="20" customHeight="1">
      <x:c r="A7" s="14" t="str">
        <x:v>NV006</x:v>
      </x:c>
      <x:c r="B7" s="14" t="str">
        <x:v>Trưởng nhóm kinh doanh</x:v>
      </x:c>
      <x:c r="C7" s="16" t="str">
        <x:v>0325001434</x:v>
      </x:c>
      <x:c r="D7" s="14" t="str">
        <x:v>Bùi Khánh Linh</x:v>
      </x:c>
      <x:c r="E7" s="14" t="str">
        <x:v>PB001</x:v>
      </x:c>
      <x:c r="F7" s="14" t="str">
        <x:v>NVKD</x:v>
      </x:c>
    </x:row>
    <x:row r="8" ht="20" customHeight="1">
      <x:c r="A8" s="14" t="str">
        <x:v>NV007</x:v>
      </x:c>
      <x:c r="B8" s="14" t="str">
        <x:v>Sales Admin</x:v>
      </x:c>
      <x:c r="C8" s="16" t="str">
        <x:v>0352130540</x:v>
      </x:c>
      <x:c r="D8" s="14" t="str">
        <x:v>Vũ Mai Phương</x:v>
      </x:c>
      <x:c r="E8" s="14" t="str">
        <x:v>PB003</x:v>
      </x:c>
      <x:c r="F8" s="14" t="str">
        <x:v>SALES_ADMIN</x:v>
      </x:c>
    </x:row>
    <x:row r="9" ht="20" customHeight="1">
      <x:c r="A9" s="14" t="str">
        <x:v>NV008</x:v>
      </x:c>
      <x:c r="B9" s="14" t="str">
        <x:v>Sales Admin</x:v>
      </x:c>
      <x:c r="C9" s="16" t="str">
        <x:v>0329460655</x:v>
      </x:c>
      <x:c r="D9" s="14" t="str">
        <x:v>Hoàng Đức Anh</x:v>
      </x:c>
      <x:c r="E9" s="14" t="str">
        <x:v>PB003</x:v>
      </x:c>
      <x:c r="F9" s="14" t="str">
        <x:v>SALES_ADMIN</x:v>
      </x:c>
    </x:row>
    <x:row r="10" ht="20" customHeight="1">
      <x:c r="A10" s="14" t="str">
        <x:v>NV009</x:v>
      </x:c>
      <x:c r="B10" s="14" t="str">
        <x:v>Chuyên viên quản lý sản phẩm</x:v>
      </x:c>
      <x:c r="C10" s="16" t="str">
        <x:v>0350651373</x:v>
      </x:c>
      <x:c r="D10" s="14" t="str">
        <x:v>Nguyễn Thùy Dương</x:v>
      </x:c>
      <x:c r="E10" s="14" t="str">
        <x:v>PB002</x:v>
      </x:c>
      <x:c r="F10" s="14" t="str">
        <x:v>QL_SAN_PHAM</x:v>
      </x:c>
    </x:row>
    <x:row r="11" ht="20" customHeight="1">
      <x:c r="A11" s="14" t="str">
        <x:v>NV010</x:v>
      </x:c>
      <x:c r="B11" s="14" t="str">
        <x:v>Quản lý dự án</x:v>
      </x:c>
      <x:c r="C11" s="16" t="str">
        <x:v>0890098659</x:v>
      </x:c>
      <x:c r="D11" s="14" t="str">
        <x:v>Trần Gia Bảo</x:v>
      </x:c>
      <x:c r="E11" s="14" t="str">
        <x:v>PB002</x:v>
      </x:c>
      <x:c r="F11" s="14" t="str">
        <x:v>QL_SAN_PHAM</x:v>
      </x:c>
    </x:row>
    <x:row r="12" ht="20" customHeight="1">
      <x:c r="A12" s="14" t="str">
        <x:v>NV011</x:v>
      </x:c>
      <x:c r="B12" s="14" t="str">
        <x:v>Chuyên viên kinh doanh</x:v>
      </x:c>
      <x:c r="C12" s="16" t="str">
        <x:v>0983657863</x:v>
      </x:c>
      <x:c r="D12" s="14" t="str">
        <x:v>Đặng Minh Anh</x:v>
      </x:c>
      <x:c r="E12" s="14" t="str">
        <x:v>PB001</x:v>
      </x:c>
      <x:c r="F12" s="14" t="str">
        <x:v>NVKD</x:v>
      </x:c>
    </x:row>
    <x:row r="13" ht="20" customHeight="1">
      <x:c r="A13" s="14" t="str">
        <x:v>NV012</x:v>
      </x:c>
      <x:c r="B13" s="14" t="str">
        <x:v>Chuyên viên kinh doanh</x:v>
      </x:c>
      <x:c r="C13" s="16" t="str">
        <x:v>0889756920</x:v>
      </x:c>
      <x:c r="D13" s="14" t="str">
        <x:v>Phan Hải Yến</x:v>
      </x:c>
      <x:c r="E13" s="14" t="str">
        <x:v>PB001</x:v>
      </x:c>
      <x:c r="F13" s="14" t="str">
        <x:v>NVKD</x:v>
      </x:c>
    </x:row>
    <x:row r="14" ht="20" customHeight="1">
      <x:c r="A14" s="14" t="str">
        <x:v>NV013</x:v>
      </x:c>
      <x:c r="B14" s="14" t="str">
        <x:v>Chuyên viên kinh doanh</x:v>
      </x:c>
      <x:c r="C14" s="16" t="str">
        <x:v>0343551717</x:v>
      </x:c>
      <x:c r="D14" s="14" t="str">
        <x:v>Võ Thành Đạt</x:v>
      </x:c>
      <x:c r="E14" s="14" t="str">
        <x:v>PB001</x:v>
      </x:c>
      <x:c r="F14" s="14" t="str">
        <x:v>NVKD</x:v>
      </x:c>
    </x:row>
    <x:row r="15" ht="20" customHeight="1">
      <x:c r="A15" s="14" t="str">
        <x:v>NV014</x:v>
      </x:c>
      <x:c r="B15" s="14" t="str">
        <x:v>Sales Admin</x:v>
      </x:c>
      <x:c r="C15" s="16" t="str">
        <x:v>0895557616</x:v>
      </x:c>
      <x:c r="D15" s="14" t="str">
        <x:v>Nguyễn Hải Anh</x:v>
      </x:c>
      <x:c r="E15" s="14" t="str">
        <x:v>PB003</x:v>
      </x:c>
      <x:c r="F15" s="14" t="str">
        <x:v>SALES_ADMIN</x:v>
      </x:c>
    </x:row>
    <x:row r="16" ht="20" customHeight="1">
      <x:c r="A16" s="14" t="str">
        <x:v>NV015</x:v>
      </x:c>
      <x:c r="B16" s="14" t="str">
        <x:v>Chuyên viên quản lý sản phẩm</x:v>
      </x:c>
      <x:c r="C16" s="16" t="str">
        <x:v>0989708023</x:v>
      </x:c>
      <x:c r="D16" s="14" t="str">
        <x:v>Lê Quốc Bảo</x:v>
      </x:c>
      <x:c r="E16" s="14" t="str">
        <x:v>PB002</x:v>
      </x:c>
      <x:c r="F16" s="14" t="str">
        <x:v>QL_SAN_PHAM</x:v>
      </x:c>
    </x:row>
    <x:row r="17" ht="20" customHeight="1">
      <x:c r="A17" s="14" t="str">
        <x:v>NV016</x:v>
      </x:c>
      <x:c r="B17" s="14" t="str">
        <x:v>Giám đốc Kinh doanh</x:v>
      </x:c>
      <x:c r="C17" s="16" t="str">
        <x:v>0964127835</x:v>
      </x:c>
      <x:c r="D17" s="14" t="str">
        <x:v>Nguyễn Hoàng Long</x:v>
      </x:c>
      <x:c r="E17" s="14" t="str">
        <x:v>PB004</x:v>
      </x:c>
      <x:c r="F17" s="14" t="str">
        <x:v>BAN_LANH_DAO</x:v>
      </x:c>
    </x:row>
  </x:sheetData>
  <x:pageMargins left="0.7" right="0.7" top="0.75" bottom="0.75" header="0.3" footer="0.3"/>
  <x:tableParts count="1">
    <x:tablePart xmlns:r="http://schemas.openxmlformats.org/officeDocument/2006/relationships" r:id="Reb5089da6bd04d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2" hidden="0" customWidth="1"/>
    <x:col min="10" max="10" width="16" hidden="0" customWidth="1"/>
  </x:cols>
  <x:sheetData>
    <x:row r="1" ht="24" customHeight="1">
      <x:c r="A1" s="10" t="str">
        <x:v>MaCan</x:v>
      </x:c>
      <x:c r="B1" s="10" t="str">
        <x:v>DienTich</x:v>
      </x:c>
      <x:c r="C1" s="10" t="str">
        <x:v>Huong</x:v>
      </x:c>
      <x:c r="D1" s="10" t="str">
        <x:v>GiaNiemYet</x:v>
      </x:c>
      <x:c r="E1" s="10" t="str">
        <x:v>GiaTTS</x:v>
      </x:c>
      <x:c r="F1" s="10" t="str">
        <x:v>GiaTTC</x:v>
      </x:c>
      <x:c r="G1" s="10" t="str">
        <x:v>GiaVay</x:v>
      </x:c>
      <x:c r="H1" s="10" t="str">
        <x:v>TrangThai</x:v>
      </x:c>
      <x:c r="I1" s="10" t="str">
        <x:v>MaDA</x:v>
      </x:c>
      <x:c r="J1" s="10" t="str">
        <x:v>MaLoaisanpham</x:v>
      </x:c>
    </x:row>
    <x:row r="2" ht="20" customHeight="1">
      <x:c r="A2" s="14" t="str">
        <x:v>V1.0506</x:v>
      </x:c>
      <x:c r="B2" s="14" t="n">
        <x:v>96.63</x:v>
      </x:c>
      <x:c r="C2" s="14" t="str">
        <x:v>Tây Bắc</x:v>
      </x:c>
      <x:c r="D2" s="18" t="n">
        <x:v>8673179188</x:v>
      </x:c>
      <x:c r="E2" s="18" t="n">
        <x:v>7647677619</x:v>
      </x:c>
      <x:c r="F2" s="18" t="n">
        <x:v>8242496989</x:v>
      </x:c>
      <x:c r="G2" s="18" t="n">
        <x:v>8497419577</x:v>
      </x:c>
      <x:c r="H2" s="14" t="str">
        <x:v>Đã bán</x:v>
      </x:c>
      <x:c r="I2" s="14" t="str">
        <x:v>DA001</x:v>
      </x:c>
      <x:c r="J2" s="14" t="str">
        <x:v>LSP012</x:v>
      </x:c>
    </x:row>
    <x:row r="3" ht="20" customHeight="1">
      <x:c r="A3" s="14" t="str">
        <x:v>V1.0515</x:v>
      </x:c>
      <x:c r="B3" s="14" t="n">
        <x:v>103.36</x:v>
      </x:c>
      <x:c r="C3" s="14" t="str">
        <x:v>Đông Bắc</x:v>
      </x:c>
      <x:c r="D3" s="18" t="n">
        <x:v>9269512413</x:v>
      </x:c>
      <x:c r="E3" s="18" t="n">
        <x:v>8173501444</x:v>
      </x:c>
      <x:c r="F3" s="18" t="n">
        <x:v>8809218222</x:v>
      </x:c>
      <x:c r="G3" s="18" t="n">
        <x:v>9081668271</x:v>
      </x:c>
      <x:c r="H3" s="14" t="str">
        <x:v>Đã bán</x:v>
      </x:c>
      <x:c r="I3" s="14" t="str">
        <x:v>DA001</x:v>
      </x:c>
      <x:c r="J3" s="14" t="str">
        <x:v>LSP013</x:v>
      </x:c>
    </x:row>
    <x:row r="4" ht="20" customHeight="1">
      <x:c r="A4" s="14" t="str">
        <x:v>V1.0520</x:v>
      </x:c>
      <x:c r="B4" s="14" t="n">
        <x:v>96.63</x:v>
      </x:c>
      <x:c r="C4" s="14" t="str">
        <x:v>Đông Bắc</x:v>
      </x:c>
      <x:c r="D4" s="18" t="n">
        <x:v>8850182845</x:v>
      </x:c>
      <x:c r="E4" s="18" t="n">
        <x:v>7803752672</x:v>
      </x:c>
      <x:c r="F4" s="18" t="n">
        <x:v>8410711213</x:v>
      </x:c>
      <x:c r="G4" s="18" t="n">
        <x:v>8670836303</x:v>
      </x:c>
      <x:c r="H4" s="14" t="str">
        <x:v>Đã bán</x:v>
      </x:c>
      <x:c r="I4" s="14" t="str">
        <x:v>DA001</x:v>
      </x:c>
      <x:c r="J4" s="14" t="str">
        <x:v>LSP012</x:v>
      </x:c>
    </x:row>
    <x:row r="5" ht="20" customHeight="1">
      <x:c r="A5" s="14" t="str">
        <x:v>V1.0620</x:v>
      </x:c>
      <x:c r="B5" s="14" t="n">
        <x:v>96.63</x:v>
      </x:c>
      <x:c r="C5" s="14" t="str">
        <x:v>Đông Bắc</x:v>
      </x:c>
      <x:c r="D5" s="18" t="n">
        <x:v>8876974519</x:v>
      </x:c>
      <x:c r="E5" s="18" t="n">
        <x:v>7827376545</x:v>
      </x:c>
      <x:c r="F5" s="18" t="n">
        <x:v>8436172498</x:v>
      </x:c>
      <x:c r="G5" s="18" t="n">
        <x:v>8697085051</x:v>
      </x:c>
      <x:c r="H5" s="14" t="str">
        <x:v>Đã bán</x:v>
      </x:c>
      <x:c r="I5" s="14" t="str">
        <x:v>DA001</x:v>
      </x:c>
      <x:c r="J5" s="14" t="str">
        <x:v>LSP012</x:v>
      </x:c>
    </x:row>
    <x:row r="6" ht="20" customHeight="1">
      <x:c r="A6" s="14" t="str">
        <x:v>V1.0720</x:v>
      </x:c>
      <x:c r="B6" s="14" t="n">
        <x:v>96.63</x:v>
      </x:c>
      <x:c r="C6" s="14" t="str">
        <x:v>Đông Bắc</x:v>
      </x:c>
      <x:c r="D6" s="18" t="n">
        <x:v>8903766192</x:v>
      </x:c>
      <x:c r="E6" s="18" t="n">
        <x:v>7851000418</x:v>
      </x:c>
      <x:c r="F6" s="18" t="n">
        <x:v>8461633784</x:v>
      </x:c>
      <x:c r="G6" s="18" t="n">
        <x:v>8723333798</x:v>
      </x:c>
      <x:c r="H6" s="14" t="str">
        <x:v>Đã bán</x:v>
      </x:c>
      <x:c r="I6" s="14" t="str">
        <x:v>DA001</x:v>
      </x:c>
      <x:c r="J6" s="14" t="str">
        <x:v>LSP012</x:v>
      </x:c>
    </x:row>
    <x:row r="7" ht="20" customHeight="1">
      <x:c r="A7" s="14" t="str">
        <x:v>V1.0806</x:v>
      </x:c>
      <x:c r="B7" s="14" t="n">
        <x:v>96.63</x:v>
      </x:c>
      <x:c r="C7" s="14" t="str">
        <x:v>Tây Bắc</x:v>
      </x:c>
      <x:c r="D7" s="18" t="n">
        <x:v>8751946709</x:v>
      </x:c>
      <x:c r="E7" s="18" t="n">
        <x:v>7717131805</x:v>
      </x:c>
      <x:c r="F7" s="18" t="n">
        <x:v>8317353168</x:v>
      </x:c>
      <x:c r="G7" s="18" t="n">
        <x:v>8574590895</x:v>
      </x:c>
      <x:c r="H7" s="14" t="str">
        <x:v>Đã bán</x:v>
      </x:c>
      <x:c r="I7" s="14" t="str">
        <x:v>DA001</x:v>
      </x:c>
      <x:c r="J7" s="14" t="str">
        <x:v>LSP012</x:v>
      </x:c>
    </x:row>
    <x:row r="8" ht="20" customHeight="1">
      <x:c r="A8" s="14" t="str">
        <x:v>V1.12A06</x:v>
      </x:c>
      <x:c r="B8" s="14" t="n">
        <x:v>97</x:v>
      </x:c>
      <x:c r="C8" s="14" t="str">
        <x:v>Tây Bắc</x:v>
      </x:c>
      <x:c r="D8" s="18" t="n">
        <x:v>8820600083</x:v>
      </x:c>
      <x:c r="E8" s="18" t="n">
        <x:v>7777667725</x:v>
      </x:c>
      <x:c r="F8" s="18" t="n">
        <x:v>8382597436</x:v>
      </x:c>
      <x:c r="G8" s="18" t="n">
        <x:v>8641853028</x:v>
      </x:c>
      <x:c r="H8" s="14" t="str">
        <x:v>Đã bán</x:v>
      </x:c>
      <x:c r="I8" s="14" t="str">
        <x:v>DA001</x:v>
      </x:c>
      <x:c r="J8" s="14" t="str">
        <x:v>LSP012</x:v>
      </x:c>
    </x:row>
    <x:row r="9" ht="20" customHeight="1">
      <x:c r="A9" s="14" t="str">
        <x:v>V1.1401</x:v>
      </x:c>
      <x:c r="B9" s="14" t="n">
        <x:v>97.51</x:v>
      </x:c>
      <x:c r="C9" s="14" t="str">
        <x:v>Tây Bắc</x:v>
      </x:c>
      <x:c r="D9" s="18" t="n">
        <x:v>8893471384</x:v>
      </x:c>
      <x:c r="E9" s="18" t="n">
        <x:v>7841922850</x:v>
      </x:c>
      <x:c r="F9" s="18" t="n">
        <x:v>8451850182</x:v>
      </x:c>
      <x:c r="G9" s="18" t="n">
        <x:v>8713247611</x:v>
      </x:c>
      <x:c r="H9" s="14" t="str">
        <x:v>Đã bán</x:v>
      </x:c>
      <x:c r="I9" s="14" t="str">
        <x:v>DA001</x:v>
      </x:c>
      <x:c r="J9" s="14" t="str">
        <x:v>LSP012</x:v>
      </x:c>
    </x:row>
    <x:row r="10" ht="20" customHeight="1">
      <x:c r="A10" s="14" t="str">
        <x:v>V1.1406</x:v>
      </x:c>
      <x:c r="B10" s="14" t="n">
        <x:v>97.51</x:v>
      </x:c>
      <x:c r="C10" s="14" t="str">
        <x:v>Tây Bắc</x:v>
      </x:c>
      <x:c r="D10" s="18" t="n">
        <x:v>8893471384</x:v>
      </x:c>
      <x:c r="E10" s="18" t="n">
        <x:v>7841922850</x:v>
      </x:c>
      <x:c r="F10" s="18" t="n">
        <x:v>8451850182</x:v>
      </x:c>
      <x:c r="G10" s="18" t="n">
        <x:v>8713247611</x:v>
      </x:c>
      <x:c r="H10" s="14" t="str">
        <x:v>Đã bán</x:v>
      </x:c>
      <x:c r="I10" s="14" t="str">
        <x:v>DA001</x:v>
      </x:c>
      <x:c r="J10" s="14" t="str">
        <x:v>LSP012</x:v>
      </x:c>
    </x:row>
    <x:row r="11" ht="20" customHeight="1">
      <x:c r="A11" s="14" t="str">
        <x:v>V1.1420</x:v>
      </x:c>
      <x:c r="B11" s="14" t="n">
        <x:v>97.51</x:v>
      </x:c>
      <x:c r="C11" s="14" t="str">
        <x:v>Đông Bắc</x:v>
      </x:c>
      <x:c r="D11" s="18" t="n">
        <x:v>9074970800</x:v>
      </x:c>
      <x:c r="E11" s="18" t="n">
        <x:v>8001962092</x:v>
      </x:c>
      <x:c r="F11" s="18" t="n">
        <x:v>8624336921</x:v>
      </x:c>
      <x:c r="G11" s="18" t="n">
        <x:v>8891068991</x:v>
      </x:c>
      <x:c r="H11" s="14" t="str">
        <x:v>Đã bán</x:v>
      </x:c>
      <x:c r="I11" s="14" t="str">
        <x:v>DA001</x:v>
      </x:c>
      <x:c r="J11" s="14" t="str">
        <x:v>LSP012</x:v>
      </x:c>
    </x:row>
    <x:row r="12" ht="20" customHeight="1">
      <x:c r="A12" s="14" t="str">
        <x:v>V1.1701</x:v>
      </x:c>
      <x:c r="B12" s="14" t="n">
        <x:v>97.51</x:v>
      </x:c>
      <x:c r="C12" s="14" t="str">
        <x:v>Tây Bắc</x:v>
      </x:c>
      <x:c r="D12" s="18" t="n">
        <x:v>8955292933</x:v>
      </x:c>
      <x:c r="E12" s="18" t="n">
        <x:v>7896434727</x:v>
      </x:c>
      <x:c r="F12" s="18" t="n">
        <x:v>8510601872</x:v>
      </x:c>
      <x:c r="G12" s="18" t="n">
        <x:v>8773816363</x:v>
      </x:c>
      <x:c r="H12" s="14" t="str">
        <x:v>Đã bán</x:v>
      </x:c>
      <x:c r="I12" s="14" t="str">
        <x:v>DA001</x:v>
      </x:c>
      <x:c r="J12" s="14" t="str">
        <x:v>LSP012</x:v>
      </x:c>
    </x:row>
    <x:row r="13" ht="20" customHeight="1">
      <x:c r="A13" s="14" t="str">
        <x:v>V1.1706</x:v>
      </x:c>
      <x:c r="B13" s="14" t="n">
        <x:v>97.51</x:v>
      </x:c>
      <x:c r="C13" s="14" t="str">
        <x:v>Tây Bắc</x:v>
      </x:c>
      <x:c r="D13" s="18" t="n">
        <x:v>8955292933</x:v>
      </x:c>
      <x:c r="E13" s="18" t="n">
        <x:v>7896434727</x:v>
      </x:c>
      <x:c r="F13" s="18" t="n">
        <x:v>8510601872</x:v>
      </x:c>
      <x:c r="G13" s="18" t="n">
        <x:v>8773816363</x:v>
      </x:c>
      <x:c r="H13" s="14" t="str">
        <x:v>Đã bán</x:v>
      </x:c>
      <x:c r="I13" s="14" t="str">
        <x:v>DA001</x:v>
      </x:c>
      <x:c r="J13" s="14" t="str">
        <x:v>LSP012</x:v>
      </x:c>
    </x:row>
    <x:row r="14" ht="20" customHeight="1">
      <x:c r="A14" s="14" t="str">
        <x:v>V1.2406</x:v>
      </x:c>
      <x:c r="B14" s="14" t="n">
        <x:v>97.51</x:v>
      </x:c>
      <x:c r="C14" s="14" t="str">
        <x:v>Tây Bắc</x:v>
      </x:c>
      <x:c r="D14" s="18" t="n">
        <x:v>8955292933</x:v>
      </x:c>
      <x:c r="E14" s="18" t="n">
        <x:v>7896434727</x:v>
      </x:c>
      <x:c r="F14" s="18" t="n">
        <x:v>8510601872</x:v>
      </x:c>
      <x:c r="G14" s="18" t="n">
        <x:v>8773816363</x:v>
      </x:c>
      <x:c r="H14" s="14" t="str">
        <x:v>Đã bán</x:v>
      </x:c>
      <x:c r="I14" s="14" t="str">
        <x:v>DA001</x:v>
      </x:c>
      <x:c r="J14" s="14" t="str">
        <x:v>LSP012</x:v>
      </x:c>
    </x:row>
    <x:row r="15" ht="20" customHeight="1">
      <x:c r="A15" s="14" t="str">
        <x:v>V1.2301</x:v>
      </x:c>
      <x:c r="B15" s="14" t="n">
        <x:v>97.51</x:v>
      </x:c>
      <x:c r="C15" s="14" t="str">
        <x:v>Tây Bắc</x:v>
      </x:c>
      <x:c r="D15" s="18" t="n">
        <x:v>8972956232</x:v>
      </x:c>
      <x:c r="E15" s="18" t="n">
        <x:v>7912009549</x:v>
      </x:c>
      <x:c r="F15" s="18" t="n">
        <x:v>8527388069</x:v>
      </x:c>
      <x:c r="G15" s="18" t="n">
        <x:v>8791121721</x:v>
      </x:c>
      <x:c r="H15" s="14" t="str">
        <x:v>Đã bán</x:v>
      </x:c>
      <x:c r="I15" s="14" t="str">
        <x:v>DA001</x:v>
      </x:c>
      <x:c r="J15" s="14" t="str">
        <x:v>LSP012</x:v>
      </x:c>
    </x:row>
    <x:row r="16" ht="20" customHeight="1">
      <x:c r="A16" s="14" t="str">
        <x:v>V1.2512</x:v>
      </x:c>
      <x:c r="B16" s="14" t="n">
        <x:v>104.46</x:v>
      </x:c>
      <x:c r="C16" s="14" t="str">
        <x:v>Tây Nam</x:v>
      </x:c>
      <x:c r="D16" s="18" t="n">
        <x:v>9664299671</x:v>
      </x:c>
      <x:c r="E16" s="18" t="n">
        <x:v>8521609746</x:v>
      </x:c>
      <x:c r="F16" s="18" t="n">
        <x:v>9184401615</x:v>
      </x:c>
      <x:c r="G16" s="18" t="n">
        <x:v>9468455274</x:v>
      </x:c>
      <x:c r="H16" s="14" t="str">
        <x:v>Đã bán</x:v>
      </x:c>
      <x:c r="I16" s="14" t="str">
        <x:v>DA001</x:v>
      </x:c>
      <x:c r="J16" s="14" t="str">
        <x:v>LSP013</x:v>
      </x:c>
    </x:row>
    <x:row r="17" ht="20" customHeight="1">
      <x:c r="A17" s="14" t="str">
        <x:v>V2.0504</x:v>
      </x:c>
      <x:c r="B17" s="14" t="n">
        <x:v>69.03</x:v>
      </x:c>
      <x:c r="C17" s="14" t="str">
        <x:v>Đông Bắc</x:v>
      </x:c>
      <x:c r="D17" s="18" t="n">
        <x:v>6576759342</x:v>
      </x:c>
      <x:c r="E17" s="18" t="n">
        <x:v>5799134796</x:v>
      </x:c>
      <x:c r="F17" s="18" t="n">
        <x:v>6250178614</x:v>
      </x:c>
      <x:c r="G17" s="18" t="n">
        <x:v>6443483107</x:v>
      </x:c>
      <x:c r="H17" s="14" t="str">
        <x:v>Đã bán</x:v>
      </x:c>
      <x:c r="I17" s="14" t="str">
        <x:v>DA001</x:v>
      </x:c>
      <x:c r="J17" s="14" t="str">
        <x:v>LSP011</x:v>
      </x:c>
    </x:row>
    <x:row r="18" ht="20" customHeight="1">
      <x:c r="A18" s="14" t="str">
        <x:v>V2.0505</x:v>
      </x:c>
      <x:c r="B18" s="14" t="n">
        <x:v>68.97</x:v>
      </x:c>
      <x:c r="C18" s="14" t="str">
        <x:v>Đông Bắc</x:v>
      </x:c>
      <x:c r="D18" s="18" t="n">
        <x:v>6637417077</x:v>
      </x:c>
      <x:c r="E18" s="18" t="n">
        <x:v>5852620467</x:v>
      </x:c>
      <x:c r="F18" s="18" t="n">
        <x:v>6307824280</x:v>
      </x:c>
      <x:c r="G18" s="18" t="n">
        <x:v>6502911630</x:v>
      </x:c>
      <x:c r="H18" s="14" t="str">
        <x:v>Đã bán</x:v>
      </x:c>
      <x:c r="I18" s="14" t="str">
        <x:v>DA001</x:v>
      </x:c>
      <x:c r="J18" s="14" t="str">
        <x:v>LSP011</x:v>
      </x:c>
    </x:row>
    <x:row r="19" ht="20" customHeight="1">
      <x:c r="A19" s="14" t="str">
        <x:v>V2.0601</x:v>
      </x:c>
      <x:c r="B19" s="14" t="n">
        <x:v>96.63</x:v>
      </x:c>
      <x:c r="C19" s="14" t="str">
        <x:v>Đông Bắc</x:v>
      </x:c>
      <x:c r="D19" s="18" t="n">
        <x:v>9138116698</x:v>
      </x:c>
      <x:c r="E19" s="18" t="n">
        <x:v>8057641729</x:v>
      </x:c>
      <x:c r="F19" s="18" t="n">
        <x:v>8684347196</x:v>
      </x:c>
      <x:c r="G19" s="18" t="n">
        <x:v>8952935255</x:v>
      </x:c>
      <x:c r="H19" s="14" t="str">
        <x:v>Đã bán</x:v>
      </x:c>
      <x:c r="I19" s="14" t="str">
        <x:v>DA001</x:v>
      </x:c>
      <x:c r="J19" s="14" t="str">
        <x:v>LSP012</x:v>
      </x:c>
    </x:row>
    <x:row r="20" ht="20" customHeight="1">
      <x:c r="A20" s="14" t="str">
        <x:v>V2.0610</x:v>
      </x:c>
      <x:c r="B20" s="14" t="n">
        <x:v>64.44</x:v>
      </x:c>
      <x:c r="C20" s="14" t="str">
        <x:v>Tây Nam</x:v>
      </x:c>
      <x:c r="D20" s="18" t="n">
        <x:v>6033101917</x:v>
      </x:c>
      <x:c r="E20" s="18" t="n">
        <x:v>5319758476</x:v>
      </x:c>
      <x:c r="F20" s="18" t="n">
        <x:v>5733517468</x:v>
      </x:c>
      <x:c r="G20" s="18" t="n">
        <x:v>5910842751</x:v>
      </x:c>
      <x:c r="H20" s="14" t="str">
        <x:v>Đã bán</x:v>
      </x:c>
      <x:c r="I20" s="14" t="str">
        <x:v>DA001</x:v>
      </x:c>
      <x:c r="J20" s="14" t="str">
        <x:v>LSP011</x:v>
      </x:c>
    </x:row>
    <x:row r="21" ht="20" customHeight="1">
      <x:c r="A21" s="14" t="str">
        <x:v>V2.0707</x:v>
      </x:c>
      <x:c r="B21" s="14" t="n">
        <x:v>103.36</x:v>
      </x:c>
      <x:c r="C21" s="14" t="str">
        <x:v>Tây Nam</x:v>
      </x:c>
      <x:c r="D21" s="18" t="n">
        <x:v>9223542696</x:v>
      </x:c>
      <x:c r="E21" s="18" t="n">
        <x:v>8132967106</x:v>
      </x:c>
      <x:c r="F21" s="18" t="n">
        <x:v>8765531214</x:v>
      </x:c>
      <x:c r="G21" s="18" t="n">
        <x:v>9036630118</x:v>
      </x:c>
      <x:c r="H21" s="14" t="str">
        <x:v>Còn hàng</x:v>
      </x:c>
      <x:c r="I21" s="14" t="str">
        <x:v>DA001</x:v>
      </x:c>
      <x:c r="J21" s="14" t="str">
        <x:v>LSP013</x:v>
      </x:c>
    </x:row>
    <x:row r="22" ht="20" customHeight="1">
      <x:c r="A22" s="14" t="str">
        <x:v>V2.0708</x:v>
      </x:c>
      <x:c r="B22" s="14" t="n">
        <x:v>71.2</x:v>
      </x:c>
      <x:c r="C22" s="14" t="str">
        <x:v>Tây Nam</x:v>
      </x:c>
      <x:c r="D22" s="18" t="n">
        <x:v>6556944058</x:v>
      </x:c>
      <x:c r="E22" s="18" t="n">
        <x:v>5781662437</x:v>
      </x:c>
      <x:c r="F22" s="18" t="n">
        <x:v>6231347292</x:v>
      </x:c>
      <x:c r="G22" s="18" t="n">
        <x:v>6424069374</x:v>
      </x:c>
      <x:c r="H22" s="14" t="str">
        <x:v>Đã bán</x:v>
      </x:c>
      <x:c r="I22" s="14" t="str">
        <x:v>DA001</x:v>
      </x:c>
      <x:c r="J22" s="14" t="str">
        <x:v>LSP011</x:v>
      </x:c>
    </x:row>
    <x:row r="23" ht="20" customHeight="1">
      <x:c r="A23" s="14" t="str">
        <x:v>V2.0712</x:v>
      </x:c>
      <x:c r="B23" s="14" t="n">
        <x:v>64.16</x:v>
      </x:c>
      <x:c r="C23" s="14" t="str">
        <x:v>Tây Bắc</x:v>
      </x:c>
      <x:c r="D23" s="18" t="n">
        <x:v>6210077056</x:v>
      </x:c>
      <x:c r="E23" s="18" t="n">
        <x:v>5475808384</x:v>
      </x:c>
      <x:c r="F23" s="18" t="n">
        <x:v>5901704591</x:v>
      </x:c>
      <x:c r="G23" s="18" t="n">
        <x:v>6084231538</x:v>
      </x:c>
      <x:c r="H23" s="14" t="str">
        <x:v>Còn hàng</x:v>
      </x:c>
      <x:c r="I23" s="14" t="str">
        <x:v>DA001</x:v>
      </x:c>
      <x:c r="J23" s="14" t="str">
        <x:v>LSP011</x:v>
      </x:c>
    </x:row>
    <x:row r="24" ht="20" customHeight="1">
      <x:c r="A24" s="14" t="str">
        <x:v>V2.0902</x:v>
      </x:c>
      <x:c r="B24" s="14" t="n">
        <x:v>68.97</x:v>
      </x:c>
      <x:c r="C24" s="14" t="str">
        <x:v>Đông Bắc</x:v>
      </x:c>
      <x:c r="D24" s="18" t="n">
        <x:v>6711091737</x:v>
      </x:c>
      <x:c r="E24" s="18" t="n">
        <x:v>5917583963</x:v>
      </x:c>
      <x:c r="F24" s="18" t="n">
        <x:v>6377840493</x:v>
      </x:c>
      <x:c r="G24" s="18" t="n">
        <x:v>6575093293</x:v>
      </x:c>
      <x:c r="H24" s="14" t="str">
        <x:v>Còn hàng</x:v>
      </x:c>
      <x:c r="I24" s="14" t="str">
        <x:v>DA001</x:v>
      </x:c>
      <x:c r="J24" s="14" t="str">
        <x:v>LSP011</x:v>
      </x:c>
    </x:row>
    <x:row r="25" ht="20" customHeight="1">
      <x:c r="A25" s="14" t="str">
        <x:v>V2.0904</x:v>
      </x:c>
      <x:c r="B25" s="14" t="n">
        <x:v>69.03</x:v>
      </x:c>
      <x:c r="C25" s="14" t="str">
        <x:v>Đông Bắc</x:v>
      </x:c>
      <x:c r="D25" s="18" t="n">
        <x:v>6649760707</x:v>
      </x:c>
      <x:c r="E25" s="18" t="n">
        <x:v>5863504607</x:v>
      </x:c>
      <x:c r="F25" s="18" t="n">
        <x:v>6319554966</x:v>
      </x:c>
      <x:c r="G25" s="18" t="n">
        <x:v>6515005120</x:v>
      </x:c>
      <x:c r="H25" s="14" t="str">
        <x:v>Còn hàng</x:v>
      </x:c>
      <x:c r="I25" s="14" t="str">
        <x:v>DA001</x:v>
      </x:c>
      <x:c r="J25" s="14" t="str">
        <x:v>LSP011</x:v>
      </x:c>
    </x:row>
    <x:row r="26" ht="20" customHeight="1">
      <x:c r="A26" s="14" t="str">
        <x:v>V2.0913</x:v>
      </x:c>
      <x:c r="B26" s="14" t="n">
        <x:v>71.11</x:v>
      </x:c>
      <x:c r="C26" s="14" t="str">
        <x:v>Tây Bắc</x:v>
      </x:c>
      <x:c r="D26" s="18" t="n">
        <x:v>6781628843</x:v>
      </x:c>
      <x:c r="E26" s="18" t="n">
        <x:v>5979780885</x:v>
      </x:c>
      <x:c r="F26" s="18" t="n">
        <x:v>6444874954</x:v>
      </x:c>
      <x:c r="G26" s="18" t="n">
        <x:v>6644200984</x:v>
      </x:c>
      <x:c r="H26" s="14" t="str">
        <x:v>Còn hàng</x:v>
      </x:c>
      <x:c r="I26" s="14" t="str">
        <x:v>DA001</x:v>
      </x:c>
      <x:c r="J26" s="14" t="str">
        <x:v>LSP011</x:v>
      </x:c>
    </x:row>
    <x:row r="27" ht="20" customHeight="1">
      <x:c r="A27" s="14" t="str">
        <x:v>V2.0914</x:v>
      </x:c>
      <x:c r="B27" s="14" t="n">
        <x:v>103.87</x:v>
      </x:c>
      <x:c r="C27" s="14" t="str">
        <x:v>Tây Bắc</x:v>
      </x:c>
      <x:c r="D27" s="18" t="n">
        <x:v>9695764373</x:v>
      </x:c>
      <x:c r="E27" s="18" t="n">
        <x:v>8549354116</x:v>
      </x:c>
      <x:c r="F27" s="18" t="n">
        <x:v>9214303880</x:v>
      </x:c>
      <x:c r="G27" s="18" t="n">
        <x:v>9499282352</x:v>
      </x:c>
      <x:c r="H27" s="14" t="str">
        <x:v>Còn hàng</x:v>
      </x:c>
      <x:c r="I27" s="14" t="str">
        <x:v>DA001</x:v>
      </x:c>
      <x:c r="J27" s="14" t="str">
        <x:v>LSP013</x:v>
      </x:c>
    </x:row>
    <x:row r="28" ht="20" customHeight="1">
      <x:c r="A28" s="14" t="str">
        <x:v>V2.1015</x:v>
      </x:c>
      <x:c r="B28" s="14" t="n">
        <x:v>104.14</x:v>
      </x:c>
      <x:c r="C28" s="14" t="str">
        <x:v>Đông Nam</x:v>
      </x:c>
      <x:c r="D28" s="18" t="n">
        <x:v>9547453873</x:v>
      </x:c>
      <x:c r="E28" s="18" t="n">
        <x:v>8418579591</x:v>
      </x:c>
      <x:c r="F28" s="18" t="n">
        <x:v>9073358003</x:v>
      </x:c>
      <x:c r="G28" s="18" t="n">
        <x:v>9353977323</x:v>
      </x:c>
      <x:c r="H28" s="14" t="str">
        <x:v>Còn hàng</x:v>
      </x:c>
      <x:c r="I28" s="14" t="str">
        <x:v>DA001</x:v>
      </x:c>
      <x:c r="J28" s="14" t="str">
        <x:v>LSP013</x:v>
      </x:c>
    </x:row>
    <x:row r="29" ht="20" customHeight="1">
      <x:c r="A29" s="14" t="str">
        <x:v>V2.1106</x:v>
      </x:c>
      <x:c r="B29" s="14" t="n">
        <x:v>97</x:v>
      </x:c>
      <x:c r="C29" s="14" t="str">
        <x:v>Đông Bắc</x:v>
      </x:c>
      <x:c r="D29" s="18" t="n">
        <x:v>9380427850</x:v>
      </x:c>
      <x:c r="E29" s="18" t="n">
        <x:v>8271302434</x:v>
      </x:c>
      <x:c r="F29" s="18" t="n">
        <x:v>8914625956</x:v>
      </x:c>
      <x:c r="G29" s="18" t="n">
        <x:v>9190336038</x:v>
      </x:c>
      <x:c r="H29" s="14" t="str">
        <x:v>Còn hàng</x:v>
      </x:c>
      <x:c r="I29" s="14" t="str">
        <x:v>DA001</x:v>
      </x:c>
      <x:c r="J29" s="14" t="str">
        <x:v>LSP012</x:v>
      </x:c>
    </x:row>
    <x:row r="30" ht="20" customHeight="1">
      <x:c r="A30" s="14" t="str">
        <x:v>V2.1108</x:v>
      </x:c>
      <x:c r="B30" s="14" t="n">
        <x:v>71.73</x:v>
      </x:c>
      <x:c r="C30" s="14" t="str">
        <x:v>Tây Nam</x:v>
      </x:c>
      <x:c r="D30" s="18" t="n">
        <x:v>6668696252</x:v>
      </x:c>
      <x:c r="E30" s="18" t="n">
        <x:v>5880201247</x:v>
      </x:c>
      <x:c r="F30" s="18" t="n">
        <x:v>6337550232</x:v>
      </x:c>
      <x:c r="G30" s="18" t="n">
        <x:v>6533556941</x:v>
      </x:c>
      <x:c r="H30" s="14" t="str">
        <x:v>Còn hàng</x:v>
      </x:c>
      <x:c r="I30" s="14" t="str">
        <x:v>DA001</x:v>
      </x:c>
      <x:c r="J30" s="14" t="str">
        <x:v>LSP011</x:v>
      </x:c>
    </x:row>
    <x:row r="31" ht="20" customHeight="1">
      <x:c r="A31" s="14" t="str">
        <x:v>V2.12A05</x:v>
      </x:c>
      <x:c r="B31" s="14" t="n">
        <x:v>69.32</x:v>
      </x:c>
      <x:c r="C31" s="14" t="str">
        <x:v>Đông Bắc</x:v>
      </x:c>
      <x:c r="D31" s="18" t="n">
        <x:v>6758611684</x:v>
      </x:c>
      <x:c r="E31" s="18" t="n">
        <x:v>5959485234</x:v>
      </x:c>
      <x:c r="F31" s="18" t="n">
        <x:v>6423000752</x:v>
      </x:c>
      <x:c r="G31" s="18" t="n">
        <x:v>6621650261</x:v>
      </x:c>
      <x:c r="H31" s="14" t="str">
        <x:v>Còn hàng</x:v>
      </x:c>
      <x:c r="I31" s="14" t="str">
        <x:v>DA001</x:v>
      </x:c>
      <x:c r="J31" s="14" t="str">
        <x:v>LSP011</x:v>
      </x:c>
    </x:row>
    <x:row r="32" ht="20" customHeight="1">
      <x:c r="A32" s="14" t="str">
        <x:v>V2.12A06</x:v>
      </x:c>
      <x:c r="B32" s="14" t="n">
        <x:v>97</x:v>
      </x:c>
      <x:c r="C32" s="14" t="str">
        <x:v>Đông Bắc</x:v>
      </x:c>
      <x:c r="D32" s="18" t="n">
        <x:v>9357128228</x:v>
      </x:c>
      <x:c r="E32" s="18" t="n">
        <x:v>8250757718</x:v>
      </x:c>
      <x:c r="F32" s="18" t="n">
        <x:v>8892483318</x:v>
      </x:c>
      <x:c r="G32" s="18" t="n">
        <x:v>9167508576</x:v>
      </x:c>
      <x:c r="H32" s="14" t="str">
        <x:v>Còn hàng</x:v>
      </x:c>
      <x:c r="I32" s="14" t="str">
        <x:v>DA001</x:v>
      </x:c>
      <x:c r="J32" s="14" t="str">
        <x:v>LSP012</x:v>
      </x:c>
    </x:row>
    <x:row r="33" ht="20" customHeight="1">
      <x:c r="A33" s="14" t="str">
        <x:v>V2.12A16</x:v>
      </x:c>
      <x:c r="B33" s="14" t="n">
        <x:v>70.75</x:v>
      </x:c>
      <x:c r="C33" s="14" t="str">
        <x:v>Đông Nam</x:v>
      </x:c>
      <x:c r="D33" s="18" t="n">
        <x:v>6760736917</x:v>
      </x:c>
      <x:c r="E33" s="18" t="n">
        <x:v>5961359184</x:v>
      </x:c>
      <x:c r="F33" s="18" t="n">
        <x:v>6425020453</x:v>
      </x:c>
      <x:c r="G33" s="18" t="n">
        <x:v>6623732427</x:v>
      </x:c>
      <x:c r="H33" s="14" t="str">
        <x:v>Còn hàng</x:v>
      </x:c>
      <x:c r="I33" s="14" t="str">
        <x:v>DA001</x:v>
      </x:c>
      <x:c r="J33" s="14" t="str">
        <x:v>LSP011</x:v>
      </x:c>
    </x:row>
    <x:row r="34" ht="20" customHeight="1">
      <x:c r="A34" s="14" t="str">
        <x:v>V2.1409</x:v>
      </x:c>
      <x:c r="B34" s="14" t="n">
        <x:v>65.51</x:v>
      </x:c>
      <x:c r="C34" s="14" t="str">
        <x:v>Tây Nam</x:v>
      </x:c>
      <x:c r="D34" s="18" t="n">
        <x:v>6213493033</x:v>
      </x:c>
      <x:c r="E34" s="18" t="n">
        <x:v>5478820462</x:v>
      </x:c>
      <x:c r="F34" s="18" t="n">
        <x:v>5904950942</x:v>
      </x:c>
      <x:c r="G34" s="18" t="n">
        <x:v>6087578291</x:v>
      </x:c>
      <x:c r="H34" s="14" t="str">
        <x:v>Còn hàng</x:v>
      </x:c>
      <x:c r="I34" s="14" t="str">
        <x:v>DA001</x:v>
      </x:c>
      <x:c r="J34" s="14" t="str">
        <x:v>LSP011</x:v>
      </x:c>
    </x:row>
    <x:row r="35" ht="20" customHeight="1">
      <x:c r="A35" s="14" t="str">
        <x:v>V2.1412</x:v>
      </x:c>
      <x:c r="B35" s="14" t="n">
        <x:v>64.45</x:v>
      </x:c>
      <x:c r="C35" s="14" t="str">
        <x:v>Tây Bắc</x:v>
      </x:c>
      <x:c r="D35" s="18" t="n">
        <x:v>6426729774</x:v>
      </x:c>
      <x:c r="E35" s="18" t="n">
        <x:v>5666844463</x:v>
      </x:c>
      <x:c r="F35" s="18" t="n">
        <x:v>6107599032</x:v>
      </x:c>
      <x:c r="G35" s="18" t="n">
        <x:v>6296493848</x:v>
      </x:c>
      <x:c r="H35" s="14" t="str">
        <x:v>Còn hàng</x:v>
      </x:c>
      <x:c r="I35" s="14" t="str">
        <x:v>DA001</x:v>
      </x:c>
      <x:c r="J35" s="14" t="str">
        <x:v>LSP011</x:v>
      </x:c>
    </x:row>
    <x:row r="36" ht="20" customHeight="1">
      <x:c r="A36" s="14" t="str">
        <x:v>V2.1418</x:v>
      </x:c>
      <x:c r="B36" s="14" t="n">
        <x:v>69.55</x:v>
      </x:c>
      <x:c r="C36" s="14" t="str">
        <x:v>Đông Nam</x:v>
      </x:c>
      <x:c r="D36" s="18" t="n">
        <x:v>6599266681</x:v>
      </x:c>
      <x:c r="E36" s="18" t="n">
        <x:v>5818980907</x:v>
      </x:c>
      <x:c r="F36" s="18" t="n">
        <x:v>6271568311</x:v>
      </x:c>
      <x:c r="G36" s="18" t="n">
        <x:v>6465534341</x:v>
      </x:c>
      <x:c r="H36" s="14" t="str">
        <x:v>Còn hàng</x:v>
      </x:c>
      <x:c r="I36" s="14" t="str">
        <x:v>DA001</x:v>
      </x:c>
      <x:c r="J36" s="14" t="str">
        <x:v>LSP011</x:v>
      </x:c>
    </x:row>
    <x:row r="37" ht="20" customHeight="1">
      <x:c r="A37" s="14" t="str">
        <x:v>V2.1707</x:v>
      </x:c>
      <x:c r="B37" s="14" t="n">
        <x:v>104.63</x:v>
      </x:c>
      <x:c r="C37" s="14" t="str">
        <x:v>Tây Nam</x:v>
      </x:c>
      <x:c r="D37" s="18" t="n">
        <x:v>9496078231</x:v>
      </x:c>
      <x:c r="E37" s="18" t="n">
        <x:v>8373278515</x:v>
      </x:c>
      <x:c r="F37" s="18" t="n">
        <x:v>9024533511</x:v>
      </x:c>
      <x:c r="G37" s="18" t="n">
        <x:v>9303642795</x:v>
      </x:c>
      <x:c r="H37" s="14" t="str">
        <x:v>Còn hàng</x:v>
      </x:c>
      <x:c r="I37" s="14" t="str">
        <x:v>DA001</x:v>
      </x:c>
      <x:c r="J37" s="14" t="str">
        <x:v>LSP013</x:v>
      </x:c>
    </x:row>
    <x:row r="38" ht="20" customHeight="1">
      <x:c r="A38" s="14" t="str">
        <x:v>V2.1709</x:v>
      </x:c>
      <x:c r="B38" s="14" t="n">
        <x:v>65.51</x:v>
      </x:c>
      <x:c r="C38" s="14" t="str">
        <x:v>Tây Nam</x:v>
      </x:c>
      <x:c r="D38" s="18" t="n">
        <x:v>6256685140</x:v>
      </x:c>
      <x:c r="E38" s="18" t="n">
        <x:v>5516905609</x:v>
      </x:c>
      <x:c r="F38" s="18" t="n">
        <x:v>5945998267</x:v>
      </x:c>
      <x:c r="G38" s="18" t="n">
        <x:v>6129895121</x:v>
      </x:c>
      <x:c r="H38" s="14" t="str">
        <x:v>Còn hàng</x:v>
      </x:c>
      <x:c r="I38" s="14" t="str">
        <x:v>DA001</x:v>
      </x:c>
      <x:c r="J38" s="14" t="str">
        <x:v>LSP011</x:v>
      </x:c>
    </x:row>
    <x:row r="39" ht="20" customHeight="1">
      <x:c r="A39" s="14" t="str">
        <x:v>V2.1911</x:v>
      </x:c>
      <x:c r="B39" s="14" t="n">
        <x:v>64.45</x:v>
      </x:c>
      <x:c r="C39" s="14" t="str">
        <x:v>Tây Bắc</x:v>
      </x:c>
      <x:c r="D39" s="18" t="n">
        <x:v>6438281295</x:v>
      </x:c>
      <x:c r="E39" s="18" t="n">
        <x:v>5677030151</x:v>
      </x:c>
      <x:c r="F39" s="18" t="n">
        <x:v>6118576941</x:v>
      </x:c>
      <x:c r="G39" s="18" t="n">
        <x:v>6307811280</x:v>
      </x:c>
      <x:c r="H39" s="14" t="str">
        <x:v>Còn hàng</x:v>
      </x:c>
      <x:c r="I39" s="14" t="str">
        <x:v>DA001</x:v>
      </x:c>
      <x:c r="J39" s="14" t="str">
        <x:v>LSP011</x:v>
      </x:c>
    </x:row>
    <x:row r="40" ht="20" customHeight="1">
      <x:c r="A40" s="14" t="str">
        <x:v>V2.1912</x:v>
      </x:c>
      <x:c r="B40" s="14" t="n">
        <x:v>64.45</x:v>
      </x:c>
      <x:c r="C40" s="14" t="str">
        <x:v>Tây Bắc</x:v>
      </x:c>
      <x:c r="D40" s="18" t="n">
        <x:v>6503314439</x:v>
      </x:c>
      <x:c r="E40" s="18" t="n">
        <x:v>5734373890</x:v>
      </x:c>
      <x:c r="F40" s="18" t="n">
        <x:v>6180380748</x:v>
      </x:c>
      <x:c r="G40" s="18" t="n">
        <x:v>6371526545</x:v>
      </x:c>
      <x:c r="H40" s="14" t="str">
        <x:v>Còn hàng</x:v>
      </x:c>
      <x:c r="I40" s="14" t="str">
        <x:v>DA001</x:v>
      </x:c>
      <x:c r="J40" s="14" t="str">
        <x:v>LSP011</x:v>
      </x:c>
    </x:row>
    <x:row r="41" ht="20" customHeight="1">
      <x:c r="A41" s="14" t="str">
        <x:v>V2.2101</x:v>
      </x:c>
      <x:c r="B41" s="14" t="n">
        <x:v>97.51</x:v>
      </x:c>
      <x:c r="C41" s="14" t="str">
        <x:v>Đông Bắc</x:v>
      </x:c>
      <x:c r="D41" s="18" t="n">
        <x:v>9647058104</x:v>
      </x:c>
      <x:c r="E41" s="18" t="n">
        <x:v>8506406791</x:v>
      </x:c>
      <x:c r="F41" s="18" t="n">
        <x:v>9168016208</x:v>
      </x:c>
      <x:c r="G41" s="18" t="n">
        <x:v>9451563102</x:v>
      </x:c>
      <x:c r="H41" s="14" t="str">
        <x:v>Còn hàng</x:v>
      </x:c>
      <x:c r="I41" s="14" t="str">
        <x:v>DA001</x:v>
      </x:c>
      <x:c r="J41" s="14" t="str">
        <x:v>LSP012</x:v>
      </x:c>
    </x:row>
    <x:row r="42" ht="20" customHeight="1">
      <x:c r="A42" s="14" t="str">
        <x:v>V2.2102</x:v>
      </x:c>
      <x:c r="B42" s="14" t="n">
        <x:v>69.52</x:v>
      </x:c>
      <x:c r="C42" s="14" t="str">
        <x:v>Đông Bắc</x:v>
      </x:c>
      <x:c r="D42" s="18" t="n">
        <x:v>6882753587</x:v>
      </x:c>
      <x:c r="E42" s="18" t="n">
        <x:v>6068948816</x:v>
      </x:c>
      <x:c r="F42" s="18" t="n">
        <x:v>6540978168</x:v>
      </x:c>
      <x:c r="G42" s="18" t="n">
        <x:v>6743276463</x:v>
      </x:c>
      <x:c r="H42" s="14" t="str">
        <x:v>Còn hàng</x:v>
      </x:c>
      <x:c r="I42" s="14" t="str">
        <x:v>DA001</x:v>
      </x:c>
      <x:c r="J42" s="14" t="str">
        <x:v>LSP011</x:v>
      </x:c>
    </x:row>
    <x:row r="43" ht="20" customHeight="1">
      <x:c r="A43" s="14" t="str">
        <x:v>V2.2319</x:v>
      </x:c>
      <x:c r="B43" s="14" t="n">
        <x:v>69.55</x:v>
      </x:c>
      <x:c r="C43" s="14" t="str">
        <x:v>Đông Nam</x:v>
      </x:c>
      <x:c r="D43" s="18" t="n">
        <x:v>6725502240</x:v>
      </x:c>
      <x:c r="E43" s="18" t="n">
        <x:v>5930290594</x:v>
      </x:c>
      <x:c r="F43" s="18" t="n">
        <x:v>6391535417</x:v>
      </x:c>
      <x:c r="G43" s="18" t="n">
        <x:v>6589211771</x:v>
      </x:c>
      <x:c r="H43" s="14" t="str">
        <x:v>Còn hàng</x:v>
      </x:c>
      <x:c r="I43" s="14" t="str">
        <x:v>DA001</x:v>
      </x:c>
      <x:c r="J43" s="14" t="str">
        <x:v>LSP011</x:v>
      </x:c>
    </x:row>
    <x:row r="44" ht="20" customHeight="1">
      <x:c r="A44" s="14" t="str">
        <x:v>V2.2320</x:v>
      </x:c>
      <x:c r="B44" s="14" t="n">
        <x:v>97.51</x:v>
      </x:c>
      <x:c r="C44" s="14" t="str">
        <x:v>Đông Nam</x:v>
      </x:c>
      <x:c r="D44" s="18" t="n">
        <x:v>9144552774</x:v>
      </x:c>
      <x:c r="E44" s="18" t="n">
        <x:v>8063316815</x:v>
      </x:c>
      <x:c r="F44" s="18" t="n">
        <x:v>8690463678</x:v>
      </x:c>
      <x:c r="G44" s="18" t="n">
        <x:v>8959240906</x:v>
      </x:c>
      <x:c r="H44" s="14" t="str">
        <x:v>Còn hàng</x:v>
      </x:c>
      <x:c r="I44" s="14" t="str">
        <x:v>DA001</x:v>
      </x:c>
      <x:c r="J44" s="14" t="str">
        <x:v>LSP012</x:v>
      </x:c>
    </x:row>
    <x:row r="45" ht="20" customHeight="1">
      <x:c r="A45" s="14" t="str">
        <x:v>V2.2413</x:v>
      </x:c>
      <x:c r="B45" s="14" t="n">
        <x:v>71.47</x:v>
      </x:c>
      <x:c r="C45" s="14" t="str">
        <x:v>Tây Bắc</x:v>
      </x:c>
      <x:c r="D45" s="18" t="n">
        <x:v>6897589656</x:v>
      </x:c>
      <x:c r="E45" s="18" t="n">
        <x:v>6082030694</x:v>
      </x:c>
      <x:c r="F45" s="18" t="n">
        <x:v>6555077525</x:v>
      </x:c>
      <x:c r="G45" s="18" t="n">
        <x:v>6757811882</x:v>
      </x:c>
      <x:c r="H45" s="14" t="str">
        <x:v>Còn hàng</x:v>
      </x:c>
      <x:c r="I45" s="14" t="str">
        <x:v>DA001</x:v>
      </x:c>
      <x:c r="J45" s="14" t="str">
        <x:v>LSP011</x:v>
      </x:c>
    </x:row>
    <x:row r="46" ht="20" customHeight="1">
      <x:c r="A46" s="14" t="str">
        <x:v>V2.2510</x:v>
      </x:c>
      <x:c r="B46" s="14" t="n">
        <x:v>64.41</x:v>
      </x:c>
      <x:c r="C46" s="14" t="str">
        <x:v>Tây Bắc</x:v>
      </x:c>
      <x:c r="D46" s="18" t="n">
        <x:v>6328070182</x:v>
      </x:c>
      <x:c r="E46" s="18" t="n">
        <x:v>5579850209</x:v>
      </x:c>
      <x:c r="F46" s="18" t="n">
        <x:v>6013838558</x:v>
      </x:c>
      <x:c r="G46" s="18" t="n">
        <x:v>6199833565</x:v>
      </x:c>
      <x:c r="H46" s="14" t="str">
        <x:v>Còn hàng</x:v>
      </x:c>
      <x:c r="I46" s="14" t="str">
        <x:v>DA001</x:v>
      </x:c>
      <x:c r="J46" s="14" t="str">
        <x:v>LSP011</x:v>
      </x:c>
    </x:row>
    <x:row r="47" ht="20" customHeight="1">
      <x:c r="A47" s="14" t="str">
        <x:v>TT4-3</x:v>
      </x:c>
      <x:c r="B47" s="14" t="n">
        <x:v>112.88</x:v>
      </x:c>
      <x:c r="C47" s="14" t="str">
        <x:v>Tây Bắc</x:v>
      </x:c>
      <x:c r="D47" s="18" t="n">
        <x:v>32188744137</x:v>
      </x:c>
      <x:c r="E47" s="18" t="n">
        <x:v>29727979025</x:v>
      </x:c>
      <x:c r="F47" s="18" t="n">
        <x:v>30353831215</x:v>
      </x:c>
      <x:c r="G47" s="18" t="n">
        <x:v>31292609501</x:v>
      </x:c>
      <x:c r="H47" s="14" t="str">
        <x:v>Đã bán</x:v>
      </x:c>
      <x:c r="I47" s="14" t="str">
        <x:v>DA002</x:v>
      </x:c>
      <x:c r="J47" s="14" t="str">
        <x:v>LSP014</x:v>
      </x:c>
    </x:row>
    <x:row r="48" ht="20" customHeight="1">
      <x:c r="A48" s="14" t="str">
        <x:v>TT4-4</x:v>
      </x:c>
      <x:c r="B48" s="14" t="n">
        <x:v>80.62</x:v>
      </x:c>
      <x:c r="C48" s="14" t="str">
        <x:v>Tây Bắc</x:v>
      </x:c>
      <x:c r="D48" s="18" t="n">
        <x:v>22420077548</x:v>
      </x:c>
      <x:c r="E48" s="18" t="n">
        <x:v>20706107460</x:v>
      </x:c>
      <x:c r="F48" s="18" t="n">
        <x:v>21142025512</x:v>
      </x:c>
      <x:c r="G48" s="18" t="n">
        <x:v>21795902589</x:v>
      </x:c>
      <x:c r="H48" s="14" t="str">
        <x:v>Đã bán</x:v>
      </x:c>
      <x:c r="I48" s="14" t="str">
        <x:v>DA002</x:v>
      </x:c>
      <x:c r="J48" s="14" t="str">
        <x:v>LSP014</x:v>
      </x:c>
    </x:row>
    <x:row r="49" ht="20" customHeight="1">
      <x:c r="A49" s="14" t="str">
        <x:v>TT4-5</x:v>
      </x:c>
      <x:c r="B49" s="14" t="n">
        <x:v>80.62</x:v>
      </x:c>
      <x:c r="C49" s="14" t="str">
        <x:v>Tây Bắc</x:v>
      </x:c>
      <x:c r="D49" s="18" t="n">
        <x:v>22420077548</x:v>
      </x:c>
      <x:c r="E49" s="18" t="n">
        <x:v>20706107460</x:v>
      </x:c>
      <x:c r="F49" s="18" t="n">
        <x:v>21142025512</x:v>
      </x:c>
      <x:c r="G49" s="18" t="n">
        <x:v>21795902589</x:v>
      </x:c>
      <x:c r="H49" s="14" t="str">
        <x:v>Đã bán</x:v>
      </x:c>
      <x:c r="I49" s="14" t="str">
        <x:v>DA002</x:v>
      </x:c>
      <x:c r="J49" s="14" t="str">
        <x:v>LSP014</x:v>
      </x:c>
    </x:row>
    <x:row r="50" ht="20" customHeight="1">
      <x:c r="A50" s="14" t="str">
        <x:v>TT4-6</x:v>
      </x:c>
      <x:c r="B50" s="14" t="n">
        <x:v>80.62</x:v>
      </x:c>
      <x:c r="C50" s="14" t="str">
        <x:v>Tây Bắc</x:v>
      </x:c>
      <x:c r="D50" s="18" t="n">
        <x:v>22420077548</x:v>
      </x:c>
      <x:c r="E50" s="18" t="n">
        <x:v>20706107460</x:v>
      </x:c>
      <x:c r="F50" s="18" t="n">
        <x:v>21142025512</x:v>
      </x:c>
      <x:c r="G50" s="18" t="n">
        <x:v>21795902589</x:v>
      </x:c>
      <x:c r="H50" s="14" t="str">
        <x:v>Đã bán</x:v>
      </x:c>
      <x:c r="I50" s="14" t="str">
        <x:v>DA002</x:v>
      </x:c>
      <x:c r="J50" s="14" t="str">
        <x:v>LSP014</x:v>
      </x:c>
    </x:row>
    <x:row r="51" ht="20" customHeight="1">
      <x:c r="A51" s="14" t="str">
        <x:v>TT4-7</x:v>
      </x:c>
      <x:c r="B51" s="14" t="n">
        <x:v>80.62</x:v>
      </x:c>
      <x:c r="C51" s="14" t="str">
        <x:v>Tây Bắc</x:v>
      </x:c>
      <x:c r="D51" s="18" t="n">
        <x:v>22420077548</x:v>
      </x:c>
      <x:c r="E51" s="18" t="n">
        <x:v>20706107460</x:v>
      </x:c>
      <x:c r="F51" s="18" t="n">
        <x:v>21142025512</x:v>
      </x:c>
      <x:c r="G51" s="18" t="n">
        <x:v>21795902589</x:v>
      </x:c>
      <x:c r="H51" s="14" t="str">
        <x:v>Đã bán</x:v>
      </x:c>
      <x:c r="I51" s="14" t="str">
        <x:v>DA002</x:v>
      </x:c>
      <x:c r="J51" s="14" t="str">
        <x:v>LSP014</x:v>
      </x:c>
    </x:row>
    <x:row r="52" ht="20" customHeight="1">
      <x:c r="A52" s="14" t="str">
        <x:v>TT4-8</x:v>
      </x:c>
      <x:c r="B52" s="14" t="n">
        <x:v>80.62</x:v>
      </x:c>
      <x:c r="C52" s="14" t="str">
        <x:v>Tây Bắc</x:v>
      </x:c>
      <x:c r="D52" s="18" t="n">
        <x:v>22420077548</x:v>
      </x:c>
      <x:c r="E52" s="18" t="n">
        <x:v>20706107460</x:v>
      </x:c>
      <x:c r="F52" s="18" t="n">
        <x:v>21142025512</x:v>
      </x:c>
      <x:c r="G52" s="18" t="n">
        <x:v>21795902589</x:v>
      </x:c>
      <x:c r="H52" s="14" t="str">
        <x:v>Đã bán</x:v>
      </x:c>
      <x:c r="I52" s="14" t="str">
        <x:v>DA002</x:v>
      </x:c>
      <x:c r="J52" s="14" t="str">
        <x:v>LSP014</x:v>
      </x:c>
    </x:row>
    <x:row r="53" ht="20" customHeight="1">
      <x:c r="A53" s="14" t="str">
        <x:v>TT4-9</x:v>
      </x:c>
      <x:c r="B53" s="14" t="n">
        <x:v>80.62</x:v>
      </x:c>
      <x:c r="C53" s="14" t="str">
        <x:v>Tây Bắc</x:v>
      </x:c>
      <x:c r="D53" s="18" t="n">
        <x:v>20032968373</x:v>
      </x:c>
      <x:c r="E53" s="18" t="n">
        <x:v>18501488007</x:v>
      </x:c>
      <x:c r="F53" s="18" t="n">
        <x:v>18890993017</x:v>
      </x:c>
      <x:c r="G53" s="18" t="n">
        <x:v>19475250533</x:v>
      </x:c>
      <x:c r="H53" s="14" t="str">
        <x:v>Đã bán</x:v>
      </x:c>
      <x:c r="I53" s="14" t="str">
        <x:v>DA002</x:v>
      </x:c>
      <x:c r="J53" s="14" t="str">
        <x:v>LSP014</x:v>
      </x:c>
    </x:row>
    <x:row r="54" ht="20" customHeight="1">
      <x:c r="A54" s="14" t="str">
        <x:v>TT4-10</x:v>
      </x:c>
      <x:c r="B54" s="14" t="n">
        <x:v>80.62</x:v>
      </x:c>
      <x:c r="C54" s="14" t="str">
        <x:v>Tây Bắc</x:v>
      </x:c>
      <x:c r="D54" s="18" t="n">
        <x:v>20032968373</x:v>
      </x:c>
      <x:c r="E54" s="18" t="n">
        <x:v>18501488007</x:v>
      </x:c>
      <x:c r="F54" s="18" t="n">
        <x:v>18890993017</x:v>
      </x:c>
      <x:c r="G54" s="18" t="n">
        <x:v>19475250533</x:v>
      </x:c>
      <x:c r="H54" s="14" t="str">
        <x:v>Đã bán</x:v>
      </x:c>
      <x:c r="I54" s="14" t="str">
        <x:v>DA002</x:v>
      </x:c>
      <x:c r="J54" s="14" t="str">
        <x:v>LSP014</x:v>
      </x:c>
    </x:row>
    <x:row r="55" ht="20" customHeight="1">
      <x:c r="A55" s="14" t="str">
        <x:v>TT4-11</x:v>
      </x:c>
      <x:c r="B55" s="14" t="n">
        <x:v>80.62</x:v>
      </x:c>
      <x:c r="C55" s="14" t="str">
        <x:v>Tây Bắc</x:v>
      </x:c>
      <x:c r="D55" s="18" t="n">
        <x:v>20032968373</x:v>
      </x:c>
      <x:c r="E55" s="18" t="n">
        <x:v>18501488007</x:v>
      </x:c>
      <x:c r="F55" s="18" t="n">
        <x:v>18890993017</x:v>
      </x:c>
      <x:c r="G55" s="18" t="n">
        <x:v>19475250533</x:v>
      </x:c>
      <x:c r="H55" s="14" t="str">
        <x:v>Đã bán</x:v>
      </x:c>
      <x:c r="I55" s="14" t="str">
        <x:v>DA002</x:v>
      </x:c>
      <x:c r="J55" s="14" t="str">
        <x:v>LSP014</x:v>
      </x:c>
    </x:row>
    <x:row r="56" ht="20" customHeight="1">
      <x:c r="A56" s="14" t="str">
        <x:v>TT4-12</x:v>
      </x:c>
      <x:c r="B56" s="14" t="n">
        <x:v>80.62</x:v>
      </x:c>
      <x:c r="C56" s="14" t="str">
        <x:v>Tây Bắc</x:v>
      </x:c>
      <x:c r="D56" s="18" t="n">
        <x:v>20032968373</x:v>
      </x:c>
      <x:c r="E56" s="18" t="n">
        <x:v>18501488007</x:v>
      </x:c>
      <x:c r="F56" s="18" t="n">
        <x:v>18890993017</x:v>
      </x:c>
      <x:c r="G56" s="18" t="n">
        <x:v>19475250533</x:v>
      </x:c>
      <x:c r="H56" s="14" t="str">
        <x:v>Đã bán</x:v>
      </x:c>
      <x:c r="I56" s="14" t="str">
        <x:v>DA002</x:v>
      </x:c>
      <x:c r="J56" s="14" t="str">
        <x:v>LSP014</x:v>
      </x:c>
    </x:row>
    <x:row r="57" ht="20" customHeight="1">
      <x:c r="A57" s="14" t="str">
        <x:v>TT4-13</x:v>
      </x:c>
      <x:c r="B57" s="14" t="n">
        <x:v>80.62</x:v>
      </x:c>
      <x:c r="C57" s="14" t="str">
        <x:v>Tây Bắc</x:v>
      </x:c>
      <x:c r="D57" s="18" t="n">
        <x:v>20032968373</x:v>
      </x:c>
      <x:c r="E57" s="18" t="n">
        <x:v>18501488007</x:v>
      </x:c>
      <x:c r="F57" s="18" t="n">
        <x:v>18890993017</x:v>
      </x:c>
      <x:c r="G57" s="18" t="n">
        <x:v>19475250533</x:v>
      </x:c>
      <x:c r="H57" s="14" t="str">
        <x:v>Đã bán</x:v>
      </x:c>
      <x:c r="I57" s="14" t="str">
        <x:v>DA002</x:v>
      </x:c>
      <x:c r="J57" s="14" t="str">
        <x:v>LSP014</x:v>
      </x:c>
    </x:row>
    <x:row r="58" ht="20" customHeight="1">
      <x:c r="A58" s="14" t="str">
        <x:v>TT4-14</x:v>
      </x:c>
      <x:c r="B58" s="14" t="n">
        <x:v>112.88</x:v>
      </x:c>
      <x:c r="C58" s="14" t="str">
        <x:v>Tây Bắc</x:v>
      </x:c>
      <x:c r="D58" s="18" t="n">
        <x:v>28651621245</x:v>
      </x:c>
      <x:c r="E58" s="18" t="n">
        <x:v>26461262104</x:v>
      </x:c>
      <x:c r="F58" s="18" t="n">
        <x:v>27018341307</x:v>
      </x:c>
      <x:c r="G58" s="18" t="n">
        <x:v>27853960110</x:v>
      </x:c>
      <x:c r="H58" s="14" t="str">
        <x:v>Đã bán</x:v>
      </x:c>
      <x:c r="I58" s="14" t="str">
        <x:v>DA002</x:v>
      </x:c>
      <x:c r="J58" s="14" t="str">
        <x:v>LSP014</x:v>
      </x:c>
    </x:row>
    <x:row r="59" ht="20" customHeight="1">
      <x:c r="A59" s="14" t="str">
        <x:v>TT4-17</x:v>
      </x:c>
      <x:c r="B59" s="14" t="n">
        <x:v>112.88</x:v>
      </x:c>
      <x:c r="C59" s="14" t="str">
        <x:v>Đông Nam</x:v>
      </x:c>
      <x:c r="D59" s="18" t="n">
        <x:v>34639756291</x:v>
      </x:c>
      <x:c r="E59" s="18" t="n">
        <x:v>31991616202</x:v>
      </x:c>
      <x:c r="F59" s="18" t="n">
        <x:v>32665123912</x:v>
      </x:c>
      <x:c r="G59" s="18" t="n">
        <x:v>33675385476</x:v>
      </x:c>
      <x:c r="H59" s="14" t="str">
        <x:v>Đã bán</x:v>
      </x:c>
      <x:c r="I59" s="14" t="str">
        <x:v>DA002</x:v>
      </x:c>
      <x:c r="J59" s="14" t="str">
        <x:v>LSP014</x:v>
      </x:c>
    </x:row>
    <x:row r="60" ht="20" customHeight="1">
      <x:c r="A60" s="14" t="str">
        <x:v>TT4-18</x:v>
      </x:c>
      <x:c r="B60" s="14" t="n">
        <x:v>80.62</x:v>
      </x:c>
      <x:c r="C60" s="14" t="str">
        <x:v>Đông Nam</x:v>
      </x:c>
      <x:c r="D60" s="18" t="n">
        <x:v>23643914479</x:v>
      </x:c>
      <x:c r="E60" s="18"/>
      <x:c r="F60" s="18"/>
      <x:c r="G60" s="18"/>
      <x:c r="H60" s="14" t="str">
        <x:v>Đã bán</x:v>
      </x:c>
      <x:c r="I60" s="14" t="str">
        <x:v>DA002</x:v>
      </x:c>
      <x:c r="J60" s="14" t="str">
        <x:v>LSP014</x:v>
      </x:c>
    </x:row>
    <x:row r="61" ht="20" customHeight="1">
      <x:c r="A61" s="14" t="str">
        <x:v>TT4-19</x:v>
      </x:c>
      <x:c r="B61" s="14" t="n">
        <x:v>80.62</x:v>
      </x:c>
      <x:c r="C61" s="14" t="str">
        <x:v>Đông Nam</x:v>
      </x:c>
      <x:c r="D61" s="18" t="n">
        <x:v>23643914479</x:v>
      </x:c>
      <x:c r="E61" s="18"/>
      <x:c r="F61" s="18"/>
      <x:c r="G61" s="18"/>
      <x:c r="H61" s="14" t="str">
        <x:v>Đã bán</x:v>
      </x:c>
      <x:c r="I61" s="14" t="str">
        <x:v>DA002</x:v>
      </x:c>
      <x:c r="J61" s="14" t="str">
        <x:v>LSP014</x:v>
      </x:c>
    </x:row>
    <x:row r="62" ht="20" customHeight="1">
      <x:c r="A62" s="14" t="str">
        <x:v>TT4-20</x:v>
      </x:c>
      <x:c r="B62" s="14" t="n">
        <x:v>80.62</x:v>
      </x:c>
      <x:c r="C62" s="14" t="str">
        <x:v>Đông Nam</x:v>
      </x:c>
      <x:c r="D62" s="18" t="n">
        <x:v>23643914479</x:v>
      </x:c>
      <x:c r="E62" s="18"/>
      <x:c r="F62" s="18"/>
      <x:c r="G62" s="18"/>
      <x:c r="H62" s="14" t="str">
        <x:v>Đã bán</x:v>
      </x:c>
      <x:c r="I62" s="14" t="str">
        <x:v>DA002</x:v>
      </x:c>
      <x:c r="J62" s="14" t="str">
        <x:v>LSP014</x:v>
      </x:c>
    </x:row>
    <x:row r="63" ht="20" customHeight="1">
      <x:c r="A63" s="14" t="str">
        <x:v>TT4-21</x:v>
      </x:c>
      <x:c r="B63" s="14" t="n">
        <x:v>80.62</x:v>
      </x:c>
      <x:c r="C63" s="14" t="str">
        <x:v>Đông Nam</x:v>
      </x:c>
      <x:c r="D63" s="18" t="n">
        <x:v>23643914479</x:v>
      </x:c>
      <x:c r="E63" s="18"/>
      <x:c r="F63" s="18"/>
      <x:c r="G63" s="18"/>
      <x:c r="H63" s="14" t="str">
        <x:v>Đã bán</x:v>
      </x:c>
      <x:c r="I63" s="14" t="str">
        <x:v>DA002</x:v>
      </x:c>
      <x:c r="J63" s="14" t="str">
        <x:v>LSP014</x:v>
      </x:c>
    </x:row>
    <x:row r="64" ht="20" customHeight="1">
      <x:c r="A64" s="14" t="str">
        <x:v>TT4-22</x:v>
      </x:c>
      <x:c r="B64" s="14" t="n">
        <x:v>80.62</x:v>
      </x:c>
      <x:c r="C64" s="14" t="str">
        <x:v>Đông Nam</x:v>
      </x:c>
      <x:c r="D64" s="18" t="n">
        <x:v>23643914479</x:v>
      </x:c>
      <x:c r="E64" s="18" t="n">
        <x:v>21836384505</x:v>
      </x:c>
      <x:c r="F64" s="18" t="n">
        <x:v>22296097863</x:v>
      </x:c>
      <x:c r="G64" s="18" t="n">
        <x:v>22985667900</x:v>
      </x:c>
      <x:c r="H64" s="14" t="str">
        <x:v>Đã bán</x:v>
      </x:c>
      <x:c r="I64" s="14" t="str">
        <x:v>DA002</x:v>
      </x:c>
      <x:c r="J64" s="14" t="str">
        <x:v>LSP014</x:v>
      </x:c>
    </x:row>
    <x:row r="65" ht="20" customHeight="1">
      <x:c r="A65" s="14" t="str">
        <x:v>TT4-23</x:v>
      </x:c>
      <x:c r="B65" s="14" t="n">
        <x:v>80.62</x:v>
      </x:c>
      <x:c r="C65" s="14" t="str">
        <x:v>Đông Nam</x:v>
      </x:c>
      <x:c r="D65" s="18" t="n">
        <x:v>23643914479</x:v>
      </x:c>
      <x:c r="E65" s="18" t="n">
        <x:v>21836384505</x:v>
      </x:c>
      <x:c r="F65" s="18" t="n">
        <x:v>22296097863</x:v>
      </x:c>
      <x:c r="G65" s="18" t="n">
        <x:v>22985667900</x:v>
      </x:c>
      <x:c r="H65" s="14" t="str">
        <x:v>Đã bán</x:v>
      </x:c>
      <x:c r="I65" s="14" t="str">
        <x:v>DA002</x:v>
      </x:c>
      <x:c r="J65" s="14" t="str">
        <x:v>LSP014</x:v>
      </x:c>
    </x:row>
    <x:row r="66" ht="20" customHeight="1">
      <x:c r="A66" s="14" t="str">
        <x:v>TT4-24</x:v>
      </x:c>
      <x:c r="B66" s="14" t="n">
        <x:v>80.62</x:v>
      </x:c>
      <x:c r="C66" s="14" t="str">
        <x:v>Đông Nam</x:v>
      </x:c>
      <x:c r="D66" s="18" t="n">
        <x:v>23643914479</x:v>
      </x:c>
      <x:c r="E66" s="18" t="n">
        <x:v>21836384505</x:v>
      </x:c>
      <x:c r="F66" s="18" t="n">
        <x:v>22296097863</x:v>
      </x:c>
      <x:c r="G66" s="18" t="n">
        <x:v>22985667900</x:v>
      </x:c>
      <x:c r="H66" s="14" t="str">
        <x:v>Đã bán</x:v>
      </x:c>
      <x:c r="I66" s="14" t="str">
        <x:v>DA002</x:v>
      </x:c>
      <x:c r="J66" s="14" t="str">
        <x:v>LSP014</x:v>
      </x:c>
    </x:row>
    <x:row r="67" ht="20" customHeight="1">
      <x:c r="A67" s="14" t="str">
        <x:v>TT4-25</x:v>
      </x:c>
      <x:c r="B67" s="14" t="n">
        <x:v>80.62</x:v>
      </x:c>
      <x:c r="C67" s="14" t="str">
        <x:v>Đông Nam</x:v>
      </x:c>
      <x:c r="D67" s="18" t="n">
        <x:v>23643914479</x:v>
      </x:c>
      <x:c r="E67" s="18" t="n">
        <x:v>21836384505</x:v>
      </x:c>
      <x:c r="F67" s="18" t="n">
        <x:v>22296097863</x:v>
      </x:c>
      <x:c r="G67" s="18" t="n">
        <x:v>22985667900</x:v>
      </x:c>
      <x:c r="H67" s="14" t="str">
        <x:v>Đã bán</x:v>
      </x:c>
      <x:c r="I67" s="14" t="str">
        <x:v>DA002</x:v>
      </x:c>
      <x:c r="J67" s="14" t="str">
        <x:v>LSP014</x:v>
      </x:c>
    </x:row>
    <x:row r="68" ht="20" customHeight="1">
      <x:c r="A68" s="14" t="str">
        <x:v>TT4-26</x:v>
      </x:c>
      <x:c r="B68" s="14" t="n">
        <x:v>80.62</x:v>
      </x:c>
      <x:c r="C68" s="14" t="str">
        <x:v>Đông Nam</x:v>
      </x:c>
      <x:c r="D68" s="18" t="n">
        <x:v>23643914479</x:v>
      </x:c>
      <x:c r="E68" s="18" t="n">
        <x:v>21836384505</x:v>
      </x:c>
      <x:c r="F68" s="18" t="n">
        <x:v>22296097863</x:v>
      </x:c>
      <x:c r="G68" s="18" t="n">
        <x:v>22985667900</x:v>
      </x:c>
      <x:c r="H68" s="14" t="str">
        <x:v>Đã bán</x:v>
      </x:c>
      <x:c r="I68" s="14" t="str">
        <x:v>DA002</x:v>
      </x:c>
      <x:c r="J68" s="14" t="str">
        <x:v>LSP014</x:v>
      </x:c>
    </x:row>
    <x:row r="69" ht="20" customHeight="1">
      <x:c r="A69" s="14" t="str">
        <x:v>TT4-27</x:v>
      </x:c>
      <x:c r="B69" s="14" t="n">
        <x:v>80.62</x:v>
      </x:c>
      <x:c r="C69" s="14" t="str">
        <x:v>Đông Nam</x:v>
      </x:c>
      <x:c r="D69" s="18" t="n">
        <x:v>23643914479</x:v>
      </x:c>
      <x:c r="E69" s="18" t="n">
        <x:v>21836384505</x:v>
      </x:c>
      <x:c r="F69" s="18" t="n">
        <x:v>22296097863</x:v>
      </x:c>
      <x:c r="G69" s="18" t="n">
        <x:v>22985667900</x:v>
      </x:c>
      <x:c r="H69" s="14" t="str">
        <x:v>Đã bán</x:v>
      </x:c>
      <x:c r="I69" s="14" t="str">
        <x:v>DA002</x:v>
      </x:c>
      <x:c r="J69" s="14" t="str">
        <x:v>LSP014</x:v>
      </x:c>
    </x:row>
    <x:row r="70" ht="20" customHeight="1">
      <x:c r="A70" s="14" t="str">
        <x:v>TT4-28</x:v>
      </x:c>
      <x:c r="B70" s="14" t="n">
        <x:v>112.88</x:v>
      </x:c>
      <x:c r="C70" s="14" t="str">
        <x:v>Đông Nam</x:v>
      </x:c>
      <x:c r="D70" s="18" t="n">
        <x:v>34002176747</x:v>
      </x:c>
      <x:c r="E70" s="18" t="n">
        <x:v>31402778339</x:v>
      </x:c>
      <x:c r="F70" s="18" t="n">
        <x:v>32063889462</x:v>
      </x:c>
      <x:c r="G70" s="18" t="n">
        <x:v>33055556147</x:v>
      </x:c>
      <x:c r="H70" s="14" t="str">
        <x:v>Đã bán</x:v>
      </x:c>
      <x:c r="I70" s="14" t="str">
        <x:v>DA002</x:v>
      </x:c>
      <x:c r="J70" s="14" t="str">
        <x:v>LSP014</x:v>
      </x:c>
    </x:row>
    <x:row r="71" ht="20" customHeight="1">
      <x:c r="A71" s="14" t="str">
        <x:v>TT5-2</x:v>
      </x:c>
      <x:c r="B71" s="14" t="n">
        <x:v>112.88</x:v>
      </x:c>
      <x:c r="C71" s="14" t="str">
        <x:v>Tây Bắc</x:v>
      </x:c>
      <x:c r="D71" s="18" t="n">
        <x:v>33065929374</x:v>
      </x:c>
      <x:c r="E71" s="18" t="n">
        <x:v>30538105205</x:v>
      </x:c>
      <x:c r="F71" s="18" t="n">
        <x:v>31181012683</x:v>
      </x:c>
      <x:c r="G71" s="18" t="n">
        <x:v>32145373900</x:v>
      </x:c>
      <x:c r="H71" s="14" t="str">
        <x:v>Đã bán</x:v>
      </x:c>
      <x:c r="I71" s="14" t="str">
        <x:v>DA002</x:v>
      </x:c>
      <x:c r="J71" s="14" t="str">
        <x:v>LSP014</x:v>
      </x:c>
    </x:row>
    <x:row r="72" ht="20" customHeight="1">
      <x:c r="A72" s="14" t="str">
        <x:v>TT5-3</x:v>
      </x:c>
      <x:c r="B72" s="14" t="n">
        <x:v>80.63</x:v>
      </x:c>
      <x:c r="C72" s="14" t="str">
        <x:v>Tây Bắc</x:v>
      </x:c>
      <x:c r="D72" s="18" t="n">
        <x:v>23012435957</x:v>
      </x:c>
      <x:c r="E72" s="18" t="n">
        <x:v>21253181253</x:v>
      </x:c>
      <x:c r="F72" s="18" t="n">
        <x:v>21700616648</x:v>
      </x:c>
      <x:c r="G72" s="18" t="n">
        <x:v>22371769740</x:v>
      </x:c>
      <x:c r="H72" s="14" t="str">
        <x:v>Đã bán</x:v>
      </x:c>
      <x:c r="I72" s="14" t="str">
        <x:v>DA002</x:v>
      </x:c>
      <x:c r="J72" s="14" t="str">
        <x:v>LSP014</x:v>
      </x:c>
    </x:row>
    <x:row r="73" ht="20" customHeight="1">
      <x:c r="A73" s="14" t="str">
        <x:v>TT5-4</x:v>
      </x:c>
      <x:c r="B73" s="14" t="n">
        <x:v>80.63</x:v>
      </x:c>
      <x:c r="C73" s="14" t="str">
        <x:v>Tây Bắc</x:v>
      </x:c>
      <x:c r="D73" s="18" t="n">
        <x:v>23012435957</x:v>
      </x:c>
      <x:c r="E73" s="18" t="n">
        <x:v>21253181253</x:v>
      </x:c>
      <x:c r="F73" s="18" t="n">
        <x:v>21700616648</x:v>
      </x:c>
      <x:c r="G73" s="18" t="n">
        <x:v>22371769740</x:v>
      </x:c>
      <x:c r="H73" s="14" t="str">
        <x:v>Đã bán</x:v>
      </x:c>
      <x:c r="I73" s="14" t="str">
        <x:v>DA002</x:v>
      </x:c>
      <x:c r="J73" s="14" t="str">
        <x:v>LSP014</x:v>
      </x:c>
    </x:row>
    <x:row r="74" ht="20" customHeight="1">
      <x:c r="A74" s="14" t="str">
        <x:v>TT5-5</x:v>
      </x:c>
      <x:c r="B74" s="14" t="n">
        <x:v>80.63</x:v>
      </x:c>
      <x:c r="C74" s="14" t="str">
        <x:v>Tây Bắc</x:v>
      </x:c>
      <x:c r="D74" s="18" t="n">
        <x:v>23012435957</x:v>
      </x:c>
      <x:c r="E74" s="18" t="n">
        <x:v>21253181253</x:v>
      </x:c>
      <x:c r="F74" s="18" t="n">
        <x:v>21700616648</x:v>
      </x:c>
      <x:c r="G74" s="18" t="n">
        <x:v>22371769740</x:v>
      </x:c>
      <x:c r="H74" s="14" t="str">
        <x:v>Đã bán</x:v>
      </x:c>
      <x:c r="I74" s="14" t="str">
        <x:v>DA002</x:v>
      </x:c>
      <x:c r="J74" s="14" t="str">
        <x:v>LSP014</x:v>
      </x:c>
    </x:row>
    <x:row r="75" ht="20" customHeight="1">
      <x:c r="A75" s="14" t="str">
        <x:v>TT5-6</x:v>
      </x:c>
      <x:c r="B75" s="14" t="n">
        <x:v>80.63</x:v>
      </x:c>
      <x:c r="C75" s="14" t="str">
        <x:v>Tây Bắc</x:v>
      </x:c>
      <x:c r="D75" s="18" t="n">
        <x:v>23012435957</x:v>
      </x:c>
      <x:c r="E75" s="18" t="n">
        <x:v>21253181253</x:v>
      </x:c>
      <x:c r="F75" s="18" t="n">
        <x:v>21700616648</x:v>
      </x:c>
      <x:c r="G75" s="18" t="n">
        <x:v>22371769740</x:v>
      </x:c>
      <x:c r="H75" s="14" t="str">
        <x:v>Còn hàng</x:v>
      </x:c>
      <x:c r="I75" s="14" t="str">
        <x:v>DA002</x:v>
      </x:c>
      <x:c r="J75" s="14" t="str">
        <x:v>LSP014</x:v>
      </x:c>
    </x:row>
    <x:row r="76" ht="20" customHeight="1">
      <x:c r="A76" s="14" t="str">
        <x:v>TT5-7</x:v>
      </x:c>
      <x:c r="B76" s="14" t="n">
        <x:v>80.63</x:v>
      </x:c>
      <x:c r="C76" s="14" t="str">
        <x:v>Tây Bắc</x:v>
      </x:c>
      <x:c r="D76" s="18" t="n">
        <x:v>23012435957</x:v>
      </x:c>
      <x:c r="E76" s="18" t="n">
        <x:v>21253181253</x:v>
      </x:c>
      <x:c r="F76" s="18" t="n">
        <x:v>21700616648</x:v>
      </x:c>
      <x:c r="G76" s="18" t="n">
        <x:v>22371769740</x:v>
      </x:c>
      <x:c r="H76" s="14" t="str">
        <x:v>Còn hàng</x:v>
      </x:c>
      <x:c r="I76" s="14" t="str">
        <x:v>DA002</x:v>
      </x:c>
      <x:c r="J76" s="14" t="str">
        <x:v>LSP014</x:v>
      </x:c>
    </x:row>
    <x:row r="77" ht="20" customHeight="1">
      <x:c r="A77" s="14" t="str">
        <x:v>TT5-8</x:v>
      </x:c>
      <x:c r="B77" s="14" t="n">
        <x:v>80.63</x:v>
      </x:c>
      <x:c r="C77" s="14" t="str">
        <x:v>Tây Bắc</x:v>
      </x:c>
      <x:c r="D77" s="18" t="n">
        <x:v>23012435957</x:v>
      </x:c>
      <x:c r="E77" s="18"/>
      <x:c r="F77" s="18"/>
      <x:c r="G77" s="18"/>
      <x:c r="H77" s="14" t="str">
        <x:v>Đã bán</x:v>
      </x:c>
      <x:c r="I77" s="14" t="str">
        <x:v>DA002</x:v>
      </x:c>
      <x:c r="J77" s="14" t="str">
        <x:v>LSP014</x:v>
      </x:c>
    </x:row>
    <x:row r="78" ht="20" customHeight="1">
      <x:c r="A78" s="14" t="str">
        <x:v>TT5-9</x:v>
      </x:c>
      <x:c r="B78" s="14" t="n">
        <x:v>80.63</x:v>
      </x:c>
      <x:c r="C78" s="14" t="str">
        <x:v>Tây Bắc</x:v>
      </x:c>
      <x:c r="D78" s="18" t="n">
        <x:v>23012435957</x:v>
      </x:c>
      <x:c r="E78" s="18"/>
      <x:c r="F78" s="18"/>
      <x:c r="G78" s="18"/>
      <x:c r="H78" s="14" t="str">
        <x:v>Đã bán</x:v>
      </x:c>
      <x:c r="I78" s="14" t="str">
        <x:v>DA002</x:v>
      </x:c>
      <x:c r="J78" s="14" t="str">
        <x:v>LSP014</x:v>
      </x:c>
    </x:row>
    <x:row r="79" ht="20" customHeight="1">
      <x:c r="A79" s="14" t="str">
        <x:v>TT5-10</x:v>
      </x:c>
      <x:c r="B79" s="14" t="n">
        <x:v>80.63</x:v>
      </x:c>
      <x:c r="C79" s="14" t="str">
        <x:v>Tây Bắc</x:v>
      </x:c>
      <x:c r="D79" s="18" t="n">
        <x:v>23012435957</x:v>
      </x:c>
      <x:c r="E79" s="18"/>
      <x:c r="F79" s="18"/>
      <x:c r="G79" s="18"/>
      <x:c r="H79" s="14" t="str">
        <x:v>Còn hàng</x:v>
      </x:c>
      <x:c r="I79" s="14" t="str">
        <x:v>DA002</x:v>
      </x:c>
      <x:c r="J79" s="14" t="str">
        <x:v>LSP014</x:v>
      </x:c>
    </x:row>
    <x:row r="80" ht="20" customHeight="1">
      <x:c r="A80" s="14" t="str">
        <x:v>TT5-11</x:v>
      </x:c>
      <x:c r="B80" s="14" t="n">
        <x:v>112.88</x:v>
      </x:c>
      <x:c r="C80" s="14" t="str">
        <x:v>Tây Bắc</x:v>
      </x:c>
      <x:c r="D80" s="18" t="n">
        <x:v>33065929374</x:v>
      </x:c>
      <x:c r="E80" s="18" t="n">
        <x:v>30538105205</x:v>
      </x:c>
      <x:c r="F80" s="18" t="n">
        <x:v>31181012683</x:v>
      </x:c>
      <x:c r="G80" s="18" t="n">
        <x:v>32145373900</x:v>
      </x:c>
      <x:c r="H80" s="14" t="str">
        <x:v>Còn hàng</x:v>
      </x:c>
      <x:c r="I80" s="14" t="str">
        <x:v>DA002</x:v>
      </x:c>
      <x:c r="J80" s="14" t="str">
        <x:v>LSP014</x:v>
      </x:c>
    </x:row>
    <x:row r="81" ht="20" customHeight="1">
      <x:c r="A81" s="14" t="str">
        <x:v>TT5-14</x:v>
      </x:c>
      <x:c r="B81" s="14" t="n">
        <x:v>112.88</x:v>
      </x:c>
      <x:c r="C81" s="14" t="str">
        <x:v>Đông Nam</x:v>
      </x:c>
      <x:c r="D81" s="18" t="n">
        <x:v>31898279155</x:v>
      </x:c>
      <x:c r="E81" s="18" t="n">
        <x:v>29459719510</x:v>
      </x:c>
      <x:c r="F81" s="18" t="n">
        <x:v>30079924131</x:v>
      </x:c>
      <x:c r="G81" s="18" t="n">
        <x:v>31010231063</x:v>
      </x:c>
      <x:c r="H81" s="14" t="str">
        <x:v>Còn hàng</x:v>
      </x:c>
      <x:c r="I81" s="14" t="str">
        <x:v>DA002</x:v>
      </x:c>
      <x:c r="J81" s="14" t="str">
        <x:v>LSP014</x:v>
      </x:c>
    </x:row>
    <x:row r="82" ht="20" customHeight="1">
      <x:c r="A82" s="14" t="str">
        <x:v>TT5-15</x:v>
      </x:c>
      <x:c r="B82" s="14" t="n">
        <x:v>80.63</x:v>
      </x:c>
      <x:c r="C82" s="14" t="str">
        <x:v>Đông Nam</x:v>
      </x:c>
      <x:c r="D82" s="18" t="n">
        <x:v>22224406244</x:v>
      </x:c>
      <x:c r="E82" s="18"/>
      <x:c r="F82" s="18"/>
      <x:c r="G82" s="18"/>
      <x:c r="H82" s="14" t="str">
        <x:v>Còn hàng</x:v>
      </x:c>
      <x:c r="I82" s="14" t="str">
        <x:v>DA002</x:v>
      </x:c>
      <x:c r="J82" s="14" t="str">
        <x:v>LSP014</x:v>
      </x:c>
    </x:row>
    <x:row r="83" ht="20" customHeight="1">
      <x:c r="A83" s="14" t="str">
        <x:v>TT5-16</x:v>
      </x:c>
      <x:c r="B83" s="14" t="n">
        <x:v>80.63</x:v>
      </x:c>
      <x:c r="C83" s="14" t="str">
        <x:v>Đông Nam</x:v>
      </x:c>
      <x:c r="D83" s="18" t="n">
        <x:v>22224406244</x:v>
      </x:c>
      <x:c r="E83" s="18" t="n">
        <x:v>20525394835</x:v>
      </x:c>
      <x:c r="F83" s="18" t="n">
        <x:v>20957508411</x:v>
      </x:c>
      <x:c r="G83" s="18" t="n">
        <x:v>21605678774</x:v>
      </x:c>
      <x:c r="H83" s="14" t="str">
        <x:v>Còn hàng</x:v>
      </x:c>
      <x:c r="I83" s="14" t="str">
        <x:v>DA002</x:v>
      </x:c>
      <x:c r="J83" s="14" t="str">
        <x:v>LSP014</x:v>
      </x:c>
    </x:row>
    <x:row r="84" ht="20" customHeight="1">
      <x:c r="A84" s="14" t="str">
        <x:v>TT5-17</x:v>
      </x:c>
      <x:c r="B84" s="14" t="n">
        <x:v>80.63</x:v>
      </x:c>
      <x:c r="C84" s="14" t="str">
        <x:v>Đông Nam</x:v>
      </x:c>
      <x:c r="D84" s="18" t="n">
        <x:v>22224406244</x:v>
      </x:c>
      <x:c r="E84" s="18" t="n">
        <x:v>20525394835</x:v>
      </x:c>
      <x:c r="F84" s="18" t="n">
        <x:v>20957508411</x:v>
      </x:c>
      <x:c r="G84" s="18" t="n">
        <x:v>21605678774</x:v>
      </x:c>
      <x:c r="H84" s="14" t="str">
        <x:v>Còn hàng</x:v>
      </x:c>
      <x:c r="I84" s="14" t="str">
        <x:v>DA002</x:v>
      </x:c>
      <x:c r="J84" s="14" t="str">
        <x:v>LSP014</x:v>
      </x:c>
    </x:row>
    <x:row r="85" ht="20" customHeight="1">
      <x:c r="A85" s="14" t="str">
        <x:v>TT5-18</x:v>
      </x:c>
      <x:c r="B85" s="14" t="n">
        <x:v>80.63</x:v>
      </x:c>
      <x:c r="C85" s="14" t="str">
        <x:v>Đông Nam</x:v>
      </x:c>
      <x:c r="D85" s="18" t="n">
        <x:v>22224406244</x:v>
      </x:c>
      <x:c r="E85" s="18" t="n">
        <x:v>20525394835</x:v>
      </x:c>
      <x:c r="F85" s="18" t="n">
        <x:v>20957508411</x:v>
      </x:c>
      <x:c r="G85" s="18" t="n">
        <x:v>21605678774</x:v>
      </x:c>
      <x:c r="H85" s="14" t="str">
        <x:v>Còn hàng</x:v>
      </x:c>
      <x:c r="I85" s="14" t="str">
        <x:v>DA002</x:v>
      </x:c>
      <x:c r="J85" s="14" t="str">
        <x:v>LSP014</x:v>
      </x:c>
    </x:row>
    <x:row r="86" ht="20" customHeight="1">
      <x:c r="A86" s="14" t="str">
        <x:v>TT5-19</x:v>
      </x:c>
      <x:c r="B86" s="14" t="n">
        <x:v>80.63</x:v>
      </x:c>
      <x:c r="C86" s="14" t="str">
        <x:v>Đông Nam</x:v>
      </x:c>
      <x:c r="D86" s="18" t="n">
        <x:v>22224406244</x:v>
      </x:c>
      <x:c r="E86" s="18" t="n">
        <x:v>20525394835</x:v>
      </x:c>
      <x:c r="F86" s="18" t="n">
        <x:v>20957508411</x:v>
      </x:c>
      <x:c r="G86" s="18" t="n">
        <x:v>21605678774</x:v>
      </x:c>
      <x:c r="H86" s="14" t="str">
        <x:v>Còn hàng</x:v>
      </x:c>
      <x:c r="I86" s="14" t="str">
        <x:v>DA002</x:v>
      </x:c>
      <x:c r="J86" s="14" t="str">
        <x:v>LSP014</x:v>
      </x:c>
    </x:row>
    <x:row r="87" ht="20" customHeight="1">
      <x:c r="A87" s="14" t="str">
        <x:v>TT5-20</x:v>
      </x:c>
      <x:c r="B87" s="14" t="n">
        <x:v>80.63</x:v>
      </x:c>
      <x:c r="C87" s="14" t="str">
        <x:v>Đông Nam</x:v>
      </x:c>
      <x:c r="D87" s="18" t="n">
        <x:v>22224406244</x:v>
      </x:c>
      <x:c r="E87" s="18" t="n">
        <x:v>20525394835</x:v>
      </x:c>
      <x:c r="F87" s="18" t="n">
        <x:v>20957508411</x:v>
      </x:c>
      <x:c r="G87" s="18" t="n">
        <x:v>21605678774</x:v>
      </x:c>
      <x:c r="H87" s="14" t="str">
        <x:v>Còn hàng</x:v>
      </x:c>
      <x:c r="I87" s="14" t="str">
        <x:v>DA002</x:v>
      </x:c>
      <x:c r="J87" s="14" t="str">
        <x:v>LSP014</x:v>
      </x:c>
    </x:row>
    <x:row r="88" ht="20" customHeight="1">
      <x:c r="A88" s="14" t="str">
        <x:v>TT5-21</x:v>
      </x:c>
      <x:c r="B88" s="14" t="n">
        <x:v>80.63</x:v>
      </x:c>
      <x:c r="C88" s="14" t="str">
        <x:v>Đông Nam</x:v>
      </x:c>
      <x:c r="D88" s="18" t="n">
        <x:v>22224406244</x:v>
      </x:c>
      <x:c r="E88" s="18" t="n">
        <x:v>20525394835</x:v>
      </x:c>
      <x:c r="F88" s="18" t="n">
        <x:v>20957508411</x:v>
      </x:c>
      <x:c r="G88" s="18" t="n">
        <x:v>21605678774</x:v>
      </x:c>
      <x:c r="H88" s="14" t="str">
        <x:v>Còn hàng</x:v>
      </x:c>
      <x:c r="I88" s="14" t="str">
        <x:v>DA002</x:v>
      </x:c>
      <x:c r="J88" s="14" t="str">
        <x:v>LSP014</x:v>
      </x:c>
    </x:row>
    <x:row r="89" ht="20" customHeight="1">
      <x:c r="A89" s="14" t="str">
        <x:v>TT5-22</x:v>
      </x:c>
      <x:c r="B89" s="14" t="n">
        <x:v>80.63</x:v>
      </x:c>
      <x:c r="C89" s="14" t="str">
        <x:v>Đông Nam</x:v>
      </x:c>
      <x:c r="D89" s="18" t="n">
        <x:v>22224406244</x:v>
      </x:c>
      <x:c r="E89" s="18"/>
      <x:c r="F89" s="18"/>
      <x:c r="G89" s="18"/>
      <x:c r="H89" s="14" t="str">
        <x:v>Còn hàng</x:v>
      </x:c>
      <x:c r="I89" s="14" t="str">
        <x:v>DA002</x:v>
      </x:c>
      <x:c r="J89" s="14" t="str">
        <x:v>LSP014</x:v>
      </x:c>
    </x:row>
    <x:row r="90" ht="20" customHeight="1">
      <x:c r="A90" s="14" t="str">
        <x:v>TT5-23</x:v>
      </x:c>
      <x:c r="B90" s="14" t="n">
        <x:v>112.88</x:v>
      </x:c>
      <x:c r="C90" s="14" t="str">
        <x:v>Đông Nam</x:v>
      </x:c>
      <x:c r="D90" s="18" t="n">
        <x:v>31898279155</x:v>
      </x:c>
      <x:c r="E90" s="18" t="n">
        <x:v>29459719510</x:v>
      </x:c>
      <x:c r="F90" s="18" t="n">
        <x:v>30079924131</x:v>
      </x:c>
      <x:c r="G90" s="18" t="n">
        <x:v>31010231063</x:v>
      </x:c>
      <x:c r="H90" s="14" t="str">
        <x:v>Còn hàng</x:v>
      </x:c>
      <x:c r="I90" s="14" t="str">
        <x:v>DA002</x:v>
      </x:c>
      <x:c r="J90" s="14" t="str">
        <x:v>LSP014</x:v>
      </x:c>
    </x:row>
    <x:row r="91" ht="20" customHeight="1">
      <x:c r="A91" s="14" t="str">
        <x:v>TT7-1</x:v>
      </x:c>
      <x:c r="B91" s="14" t="n">
        <x:v>120.41</x:v>
      </x:c>
      <x:c r="C91" s="14" t="str">
        <x:v>Tây Nam</x:v>
      </x:c>
      <x:c r="D91" s="18" t="n">
        <x:v>34638856847</x:v>
      </x:c>
      <x:c r="E91" s="18" t="n">
        <x:v>31990785518</x:v>
      </x:c>
      <x:c r="F91" s="18" t="n">
        <x:v>32664275740</x:v>
      </x:c>
      <x:c r="G91" s="18" t="n">
        <x:v>33674511072</x:v>
      </x:c>
      <x:c r="H91" s="14" t="str">
        <x:v>Còn hàng</x:v>
      </x:c>
      <x:c r="I91" s="14" t="str">
        <x:v>DA002</x:v>
      </x:c>
      <x:c r="J91" s="14" t="str">
        <x:v>LSP014</x:v>
      </x:c>
    </x:row>
    <x:row r="92" ht="20" customHeight="1">
      <x:c r="A92" s="14" t="str">
        <x:v>TT7-2</x:v>
      </x:c>
      <x:c r="B92" s="14" t="n">
        <x:v>68.82</x:v>
      </x:c>
      <x:c r="C92" s="14" t="str">
        <x:v>Tây Nam</x:v>
      </x:c>
      <x:c r="D92" s="18" t="n">
        <x:v>17816313112</x:v>
      </x:c>
      <x:c r="E92" s="18"/>
      <x:c r="F92" s="18"/>
      <x:c r="G92" s="18"/>
      <x:c r="H92" s="14" t="str">
        <x:v>Còn hàng</x:v>
      </x:c>
      <x:c r="I92" s="14" t="str">
        <x:v>DA002</x:v>
      </x:c>
      <x:c r="J92" s="14" t="str">
        <x:v>LSP014</x:v>
      </x:c>
    </x:row>
    <x:row r="93" ht="20" customHeight="1">
      <x:c r="A93" s="14" t="str">
        <x:v>TT7-3</x:v>
      </x:c>
      <x:c r="B93" s="14" t="n">
        <x:v>68.69</x:v>
      </x:c>
      <x:c r="C93" s="14" t="str">
        <x:v>Tây Nam</x:v>
      </x:c>
      <x:c r="D93" s="18" t="n">
        <x:v>17473568679</x:v>
      </x:c>
      <x:c r="E93" s="18" t="n">
        <x:v>16137749300</x:v>
      </x:c>
      <x:c r="F93" s="18" t="n">
        <x:v>16477491391</x:v>
      </x:c>
      <x:c r="G93" s="18" t="n">
        <x:v>16987104527</x:v>
      </x:c>
      <x:c r="H93" s="14" t="str">
        <x:v>Còn hàng</x:v>
      </x:c>
      <x:c r="I93" s="14" t="str">
        <x:v>DA002</x:v>
      </x:c>
      <x:c r="J93" s="14" t="str">
        <x:v>LSP014</x:v>
      </x:c>
    </x:row>
    <x:row r="94" ht="20" customHeight="1">
      <x:c r="A94" s="14" t="str">
        <x:v>TT7-4</x:v>
      </x:c>
      <x:c r="B94" s="14" t="n">
        <x:v>68.57</x:v>
      </x:c>
      <x:c r="C94" s="14" t="str">
        <x:v>Tây Nam</x:v>
      </x:c>
      <x:c r="D94" s="18" t="n">
        <x:v>17446287546</x:v>
      </x:c>
      <x:c r="E94" s="18" t="n">
        <x:v>16112553755</x:v>
      </x:c>
      <x:c r="F94" s="18" t="n">
        <x:v>16451765414</x:v>
      </x:c>
      <x:c r="G94" s="18" t="n">
        <x:v>16960582901</x:v>
      </x:c>
      <x:c r="H94" s="14" t="str">
        <x:v>Còn hàng</x:v>
      </x:c>
      <x:c r="I94" s="14" t="str">
        <x:v>DA002</x:v>
      </x:c>
      <x:c r="J94" s="14" t="str">
        <x:v>LSP014</x:v>
      </x:c>
    </x:row>
    <x:row r="95" ht="20" customHeight="1">
      <x:c r="A95" s="14" t="str">
        <x:v>TT7-5</x:v>
      </x:c>
      <x:c r="B95" s="14" t="n">
        <x:v>68.44</x:v>
      </x:c>
      <x:c r="C95" s="14" t="str">
        <x:v>Tây Nam</x:v>
      </x:c>
      <x:c r="D95" s="18" t="n">
        <x:v>17416732985</x:v>
      </x:c>
      <x:c r="E95" s="18" t="n">
        <x:v>16085258582</x:v>
      </x:c>
      <x:c r="F95" s="18" t="n">
        <x:v>16423895605</x:v>
      </x:c>
      <x:c r="G95" s="18" t="n">
        <x:v>16931851139</x:v>
      </x:c>
      <x:c r="H95" s="14" t="str">
        <x:v>Còn hàng</x:v>
      </x:c>
      <x:c r="I95" s="14" t="str">
        <x:v>DA002</x:v>
      </x:c>
      <x:c r="J95" s="14" t="str">
        <x:v>LSP014</x:v>
      </x:c>
    </x:row>
    <x:row r="96" ht="20" customHeight="1">
      <x:c r="A96" s="14" t="str">
        <x:v>TT7-6</x:v>
      </x:c>
      <x:c r="B96" s="14" t="n">
        <x:v>68.32</x:v>
      </x:c>
      <x:c r="C96" s="14" t="str">
        <x:v>Tây Nam</x:v>
      </x:c>
      <x:c r="D96" s="18" t="n">
        <x:v>17389451852</x:v>
      </x:c>
      <x:c r="E96" s="18" t="n">
        <x:v>16060063037</x:v>
      </x:c>
      <x:c r="F96" s="18" t="n">
        <x:v>16398169627</x:v>
      </x:c>
      <x:c r="G96" s="18" t="n">
        <x:v>16905329513</x:v>
      </x:c>
      <x:c r="H96" s="14" t="str">
        <x:v>Còn hàng</x:v>
      </x:c>
      <x:c r="I96" s="14" t="str">
        <x:v>DA002</x:v>
      </x:c>
      <x:c r="J96" s="14" t="str">
        <x:v>LSP014</x:v>
      </x:c>
    </x:row>
    <x:row r="97" ht="20" customHeight="1">
      <x:c r="A97" s="14" t="str">
        <x:v>TT7-7</x:v>
      </x:c>
      <x:c r="B97" s="14" t="n">
        <x:v>68.19</x:v>
      </x:c>
      <x:c r="C97" s="14" t="str">
        <x:v>Tây Nam</x:v>
      </x:c>
      <x:c r="D97" s="18" t="n">
        <x:v>17359897292</x:v>
      </x:c>
      <x:c r="E97" s="18" t="n">
        <x:v>16032767864</x:v>
      </x:c>
      <x:c r="F97" s="18" t="n">
        <x:v>16370299819</x:v>
      </x:c>
      <x:c r="G97" s="18" t="n">
        <x:v>16876597751</x:v>
      </x:c>
      <x:c r="H97" s="14" t="str">
        <x:v>Còn hàng</x:v>
      </x:c>
      <x:c r="I97" s="14" t="str">
        <x:v>DA002</x:v>
      </x:c>
      <x:c r="J97" s="14" t="str">
        <x:v>LSP014</x:v>
      </x:c>
    </x:row>
    <x:row r="98" ht="20" customHeight="1">
      <x:c r="A98" s="14" t="str">
        <x:v>TT7-8</x:v>
      </x:c>
      <x:c r="B98" s="14" t="n">
        <x:v>68.07</x:v>
      </x:c>
      <x:c r="C98" s="14" t="str">
        <x:v>Tây Nam</x:v>
      </x:c>
      <x:c r="D98" s="18" t="n">
        <x:v>17332616159</x:v>
      </x:c>
      <x:c r="E98" s="18" t="n">
        <x:v>16007572319</x:v>
      </x:c>
      <x:c r="F98" s="18" t="n">
        <x:v>16344573841</x:v>
      </x:c>
      <x:c r="G98" s="18" t="n">
        <x:v>16850076125</x:v>
      </x:c>
      <x:c r="H98" s="14" t="str">
        <x:v>Còn hàng</x:v>
      </x:c>
      <x:c r="I98" s="14" t="str">
        <x:v>DA002</x:v>
      </x:c>
      <x:c r="J98" s="14" t="str">
        <x:v>LSP014</x:v>
      </x:c>
    </x:row>
    <x:row r="99" ht="20" customHeight="1">
      <x:c r="A99" s="14" t="str">
        <x:v>TT7-9</x:v>
      </x:c>
      <x:c r="B99" s="14" t="n">
        <x:v>67.94</x:v>
      </x:c>
      <x:c r="C99" s="14" t="str">
        <x:v>Tây Nam</x:v>
      </x:c>
      <x:c r="D99" s="18" t="n">
        <x:v>17303061599</x:v>
      </x:c>
      <x:c r="E99" s="18"/>
      <x:c r="F99" s="18"/>
      <x:c r="G99" s="18"/>
      <x:c r="H99" s="14" t="str">
        <x:v>Còn hàng</x:v>
      </x:c>
      <x:c r="I99" s="14" t="str">
        <x:v>DA002</x:v>
      </x:c>
      <x:c r="J99" s="14" t="str">
        <x:v>LSP014</x:v>
      </x:c>
    </x:row>
    <x:row r="100" ht="20" customHeight="1">
      <x:c r="A100" s="14" t="str">
        <x:v>TT7-10</x:v>
      </x:c>
      <x:c r="B100" s="14" t="n">
        <x:v>67.82</x:v>
      </x:c>
      <x:c r="C100" s="14" t="str">
        <x:v>Tây Nam</x:v>
      </x:c>
      <x:c r="D100" s="18" t="n">
        <x:v>17275780466</x:v>
      </x:c>
      <x:c r="E100" s="18" t="n">
        <x:v>15955081601</x:v>
      </x:c>
      <x:c r="F100" s="18" t="n">
        <x:v>16290978055</x:v>
      </x:c>
      <x:c r="G100" s="18" t="n">
        <x:v>16794822738</x:v>
      </x:c>
      <x:c r="H100" s="14" t="str">
        <x:v>Còn hàng</x:v>
      </x:c>
      <x:c r="I100" s="14" t="str">
        <x:v>DA002</x:v>
      </x:c>
      <x:c r="J100" s="14" t="str">
        <x:v>LSP014</x:v>
      </x:c>
    </x:row>
    <x:row r="101" ht="20" customHeight="1">
      <x:c r="A101" s="14" t="str">
        <x:v>TT7-11</x:v>
      </x:c>
      <x:c r="B101" s="14" t="n">
        <x:v>67.69</x:v>
      </x:c>
      <x:c r="C101" s="14" t="str">
        <x:v>Tây Nam</x:v>
      </x:c>
      <x:c r="D101" s="18" t="n">
        <x:v>17246225905</x:v>
      </x:c>
      <x:c r="E101" s="18" t="n">
        <x:v>15927786427</x:v>
      </x:c>
      <x:c r="F101" s="18" t="n">
        <x:v>16263108247</x:v>
      </x:c>
      <x:c r="G101" s="18" t="n">
        <x:v>16766090976</x:v>
      </x:c>
      <x:c r="H101" s="14" t="str">
        <x:v>Còn hàng</x:v>
      </x:c>
      <x:c r="I101" s="14" t="str">
        <x:v>DA002</x:v>
      </x:c>
      <x:c r="J101" s="14" t="str">
        <x:v>LSP014</x:v>
      </x:c>
    </x:row>
    <x:row r="102" ht="20" customHeight="1">
      <x:c r="A102" s="14" t="str">
        <x:v>TT7-12</x:v>
      </x:c>
      <x:c r="B102" s="14" t="n">
        <x:v>94.56</x:v>
      </x:c>
      <x:c r="C102" s="14" t="str">
        <x:v>Tây Nam</x:v>
      </x:c>
      <x:c r="D102" s="18" t="n">
        <x:v>23960489483</x:v>
      </x:c>
      <x:c r="E102" s="18" t="n">
        <x:v>22128757983</x:v>
      </x:c>
      <x:c r="F102" s="18" t="n">
        <x:v>22594626572</x:v>
      </x:c>
      <x:c r="G102" s="18" t="n">
        <x:v>23293429456</x:v>
      </x:c>
      <x:c r="H102" s="14" t="str">
        <x:v>Còn hàng</x:v>
      </x:c>
      <x:c r="I102" s="14" t="str">
        <x:v>DA002</x:v>
      </x:c>
      <x:c r="J102" s="14" t="str">
        <x:v>LSP014</x:v>
      </x:c>
    </x:row>
    <x:row r="103" ht="20" customHeight="1">
      <x:c r="A103" s="14" t="str">
        <x:v>TT9-2</x:v>
      </x:c>
      <x:c r="B103" s="14" t="n">
        <x:v>93.29</x:v>
      </x:c>
      <x:c r="C103" s="14" t="str">
        <x:v>Tây Nam</x:v>
      </x:c>
      <x:c r="D103" s="18" t="n">
        <x:v>23555076047</x:v>
      </x:c>
      <x:c r="E103" s="18" t="n">
        <x:v>21754337593</x:v>
      </x:c>
      <x:c r="F103" s="18" t="n">
        <x:v>22212323648</x:v>
      </x:c>
      <x:c r="G103" s="18" t="n">
        <x:v>22899302730</x:v>
      </x:c>
      <x:c r="H103" s="14" t="str">
        <x:v>Còn hàng</x:v>
      </x:c>
      <x:c r="I103" s="14" t="str">
        <x:v>DA002</x:v>
      </x:c>
      <x:c r="J103" s="14" t="str">
        <x:v>LSP014</x:v>
      </x:c>
    </x:row>
    <x:row r="104" ht="20" customHeight="1">
      <x:c r="A104" s="14" t="str">
        <x:v>TT9-3</x:v>
      </x:c>
      <x:c r="B104" s="14" t="n">
        <x:v>66.54</x:v>
      </x:c>
      <x:c r="C104" s="14" t="str">
        <x:v>Tây Nam</x:v>
      </x:c>
      <x:c r="D104" s="18" t="n">
        <x:v>16909454869</x:v>
      </x:c>
      <x:c r="E104" s="18"/>
      <x:c r="F104" s="18"/>
      <x:c r="G104" s="18"/>
      <x:c r="H104" s="14" t="str">
        <x:v>Còn hàng</x:v>
      </x:c>
      <x:c r="I104" s="14" t="str">
        <x:v>DA002</x:v>
      </x:c>
      <x:c r="J104" s="14" t="str">
        <x:v>LSP014</x:v>
      </x:c>
    </x:row>
    <x:row r="105" ht="20" customHeight="1">
      <x:c r="A105" s="14" t="str">
        <x:v>TT9-4</x:v>
      </x:c>
      <x:c r="B105" s="14" t="n">
        <x:v>66.46</x:v>
      </x:c>
      <x:c r="C105" s="14" t="str">
        <x:v>Tây Nam</x:v>
      </x:c>
      <x:c r="D105" s="18" t="n">
        <x:v>16891358012</x:v>
      </x:c>
      <x:c r="E105" s="18" t="n">
        <x:v>15600047474</x:v>
      </x:c>
      <x:c r="F105" s="18" t="n">
        <x:v>15928469527</x:v>
      </x:c>
      <x:c r="G105" s="18" t="n">
        <x:v>16421102605</x:v>
      </x:c>
      <x:c r="H105" s="14" t="str">
        <x:v>Còn hàng</x:v>
      </x:c>
      <x:c r="I105" s="14" t="str">
        <x:v>DA002</x:v>
      </x:c>
      <x:c r="J105" s="14" t="str">
        <x:v>LSP014</x:v>
      </x:c>
    </x:row>
    <x:row r="106" ht="20" customHeight="1">
      <x:c r="A106" s="14" t="str">
        <x:v>TT9-5</x:v>
      </x:c>
      <x:c r="B106" s="14" t="n">
        <x:v>66.38</x:v>
      </x:c>
      <x:c r="C106" s="14" t="str">
        <x:v>Tây Nam</x:v>
      </x:c>
      <x:c r="D106" s="18" t="n">
        <x:v>16873261154</x:v>
      </x:c>
      <x:c r="E106" s="18" t="n">
        <x:v>15583334085</x:v>
      </x:c>
      <x:c r="F106" s="18" t="n">
        <x:v>15911404277</x:v>
      </x:c>
      <x:c r="G106" s="18" t="n">
        <x:v>16403509564</x:v>
      </x:c>
      <x:c r="H106" s="14" t="str">
        <x:v>Còn hàng</x:v>
      </x:c>
      <x:c r="I106" s="14" t="str">
        <x:v>DA002</x:v>
      </x:c>
      <x:c r="J106" s="14" t="str">
        <x:v>LSP014</x:v>
      </x:c>
    </x:row>
    <x:row r="107" ht="20" customHeight="1">
      <x:c r="A107" s="14" t="str">
        <x:v>TT9-6</x:v>
      </x:c>
      <x:c r="B107" s="14" t="n">
        <x:v>66.31</x:v>
      </x:c>
      <x:c r="C107" s="14" t="str">
        <x:v>Tây Nam</x:v>
      </x:c>
      <x:c r="D107" s="18" t="n">
        <x:v>16857426404</x:v>
      </x:c>
      <x:c r="E107" s="18" t="n">
        <x:v>15568709870</x:v>
      </x:c>
      <x:c r="F107" s="18" t="n">
        <x:v>15896472183</x:v>
      </x:c>
      <x:c r="G107" s="18" t="n">
        <x:v>16388115653</x:v>
      </x:c>
      <x:c r="H107" s="14" t="str">
        <x:v>Còn hàng</x:v>
      </x:c>
      <x:c r="I107" s="14" t="str">
        <x:v>DA002</x:v>
      </x:c>
      <x:c r="J107" s="14" t="str">
        <x:v>LSP014</x:v>
      </x:c>
    </x:row>
    <x:row r="108" ht="20" customHeight="1">
      <x:c r="A108" s="14" t="str">
        <x:v>TT9-7</x:v>
      </x:c>
      <x:c r="B108" s="14" t="n">
        <x:v>66.23</x:v>
      </x:c>
      <x:c r="C108" s="14" t="str">
        <x:v>Tây Nam</x:v>
      </x:c>
      <x:c r="D108" s="18" t="n">
        <x:v>16839329546</x:v>
      </x:c>
      <x:c r="E108" s="18" t="n">
        <x:v>15551996481</x:v>
      </x:c>
      <x:c r="F108" s="18" t="n">
        <x:v>15879406933</x:v>
      </x:c>
      <x:c r="G108" s="18" t="n">
        <x:v>16370522612</x:v>
      </x:c>
      <x:c r="H108" s="14" t="str">
        <x:v>Còn hàng</x:v>
      </x:c>
      <x:c r="I108" s="14" t="str">
        <x:v>DA002</x:v>
      </x:c>
      <x:c r="J108" s="14" t="str">
        <x:v>LSP014</x:v>
      </x:c>
    </x:row>
    <x:row r="109" ht="20" customHeight="1">
      <x:c r="A109" s="14" t="str">
        <x:v>TT9-8</x:v>
      </x:c>
      <x:c r="B109" s="14" t="n">
        <x:v>66.15</x:v>
      </x:c>
      <x:c r="C109" s="14" t="str">
        <x:v>Tây Nam</x:v>
      </x:c>
      <x:c r="D109" s="18" t="n">
        <x:v>16821232689</x:v>
      </x:c>
      <x:c r="E109" s="18" t="n">
        <x:v>15535283092</x:v>
      </x:c>
      <x:c r="F109" s="18" t="n">
        <x:v>15862341683</x:v>
      </x:c>
      <x:c r="G109" s="18" t="n">
        <x:v>16352929571</x:v>
      </x:c>
      <x:c r="H109" s="14" t="str">
        <x:v>Còn hàng</x:v>
      </x:c>
      <x:c r="I109" s="14" t="str">
        <x:v>DA002</x:v>
      </x:c>
      <x:c r="J109" s="14" t="str">
        <x:v>LSP014</x:v>
      </x:c>
    </x:row>
    <x:row r="110" ht="20" customHeight="1">
      <x:c r="A110" s="14" t="str">
        <x:v>TT9-9</x:v>
      </x:c>
      <x:c r="B110" s="14" t="n">
        <x:v>66.07</x:v>
      </x:c>
      <x:c r="C110" s="14" t="str">
        <x:v>Tây Nam</x:v>
      </x:c>
      <x:c r="D110" s="18" t="n">
        <x:v>16803135831</x:v>
      </x:c>
      <x:c r="E110" s="18"/>
      <x:c r="F110" s="18"/>
      <x:c r="G110" s="18"/>
      <x:c r="H110" s="14" t="str">
        <x:v>Còn hàng</x:v>
      </x:c>
      <x:c r="I110" s="14" t="str">
        <x:v>DA002</x:v>
      </x:c>
      <x:c r="J110" s="14" t="str">
        <x:v>LSP014</x:v>
      </x:c>
    </x:row>
    <x:row r="111" ht="20" customHeight="1">
      <x:c r="A111" s="14" t="str">
        <x:v>TT9-10</x:v>
      </x:c>
      <x:c r="B111" s="14" t="n">
        <x:v>65.99</x:v>
      </x:c>
      <x:c r="C111" s="14" t="str">
        <x:v>Tây Nam</x:v>
      </x:c>
      <x:c r="D111" s="18" t="n">
        <x:v>16785038973</x:v>
      </x:c>
      <x:c r="E111" s="18"/>
      <x:c r="F111" s="18"/>
      <x:c r="G111" s="18"/>
      <x:c r="H111" s="14" t="str">
        <x:v>Còn hàng</x:v>
      </x:c>
      <x:c r="I111" s="14" t="str">
        <x:v>DA002</x:v>
      </x:c>
      <x:c r="J111" s="14" t="str">
        <x:v>LSP014</x:v>
      </x:c>
    </x:row>
    <x:row r="112" ht="20" customHeight="1">
      <x:c r="A112" s="14" t="str">
        <x:v>TT9-11</x:v>
      </x:c>
      <x:c r="B112" s="14" t="n">
        <x:v>65.92</x:v>
      </x:c>
      <x:c r="C112" s="14" t="str">
        <x:v>Tây Nam</x:v>
      </x:c>
      <x:c r="D112" s="18" t="n">
        <x:v>16769204223</x:v>
      </x:c>
      <x:c r="E112" s="18" t="n">
        <x:v>15487232099</x:v>
      </x:c>
      <x:c r="F112" s="18" t="n">
        <x:v>15813279090</x:v>
      </x:c>
      <x:c r="G112" s="18" t="n">
        <x:v>16302349578</x:v>
      </x:c>
      <x:c r="H112" s="14" t="str">
        <x:v>Còn hàng</x:v>
      </x:c>
      <x:c r="I112" s="14" t="str">
        <x:v>DA002</x:v>
      </x:c>
      <x:c r="J112" s="14" t="str">
        <x:v>LSP014</x:v>
      </x:c>
    </x:row>
    <x:row r="113" ht="20" customHeight="1">
      <x:c r="A113" s="14" t="str">
        <x:v>TT9-12</x:v>
      </x:c>
      <x:c r="B113" s="14" t="n">
        <x:v>65.84</x:v>
      </x:c>
      <x:c r="C113" s="14" t="str">
        <x:v>Tây Nam</x:v>
      </x:c>
      <x:c r="D113" s="18" t="n">
        <x:v>16751107365</x:v>
      </x:c>
      <x:c r="E113" s="18" t="n">
        <x:v>15470518710</x:v>
      </x:c>
      <x:c r="F113" s="18" t="n">
        <x:v>15796213840</x:v>
      </x:c>
      <x:c r="G113" s="18" t="n">
        <x:v>16284756536</x:v>
      </x:c>
      <x:c r="H113" s="14" t="str">
        <x:v>Còn hàng</x:v>
      </x:c>
      <x:c r="I113" s="14" t="str">
        <x:v>DA002</x:v>
      </x:c>
      <x:c r="J113" s="14" t="str">
        <x:v>LSP014</x:v>
      </x:c>
    </x:row>
    <x:row r="114" ht="20" customHeight="1">
      <x:c r="A114" s="14" t="str">
        <x:v>TT9-13</x:v>
      </x:c>
      <x:c r="B114" s="14" t="n">
        <x:v>92.04</x:v>
      </x:c>
      <x:c r="C114" s="14" t="str">
        <x:v>Tây Nam</x:v>
      </x:c>
      <x:c r="D114" s="18" t="n">
        <x:v>23264366502</x:v>
      </x:c>
      <x:c r="E114" s="18" t="n">
        <x:v>21485852211</x:v>
      </x:c>
      <x:c r="F114" s="18" t="n">
        <x:v>21938185942</x:v>
      </x:c>
      <x:c r="G114" s="18" t="n">
        <x:v>22616686538</x:v>
      </x:c>
      <x:c r="H114" s="14" t="str">
        <x:v>Còn hàng</x:v>
      </x:c>
      <x:c r="I114" s="14" t="str">
        <x:v>DA002</x:v>
      </x:c>
      <x:c r="J114" s="14" t="str">
        <x:v>LSP014</x:v>
      </x:c>
    </x:row>
    <x:row r="115" ht="20" customHeight="1">
      <x:c r="A115" s="14" t="str">
        <x:v>HH-A-28-15</x:v>
      </x:c>
      <x:c r="B115" s="14" t="n">
        <x:v>59.2</x:v>
      </x:c>
      <x:c r="C115" s="14" t="str">
        <x:v>ĐB</x:v>
      </x:c>
      <x:c r="D115" s="18"/>
      <x:c r="E115" s="18" t="n">
        <x:v>9206000000</x:v>
      </x:c>
      <x:c r="F115" s="18" t="n">
        <x:v>10594000000</x:v>
      </x:c>
      <x:c r="G115" s="18" t="n">
        <x:v>11534000000</x:v>
      </x:c>
      <x:c r="H115" s="14" t="str">
        <x:v>Còn hàng</x:v>
      </x:c>
      <x:c r="I115" s="14" t="str">
        <x:v>DA003</x:v>
      </x:c>
      <x:c r="J115" s="14" t="str">
        <x:v>LSP002</x:v>
      </x:c>
    </x:row>
    <x:row r="116" ht="20" customHeight="1">
      <x:c r="A116" s="14" t="str">
        <x:v>HH-A-36-19</x:v>
      </x:c>
      <x:c r="B116" s="14" t="n">
        <x:v>56.6</x:v>
      </x:c>
      <x:c r="C116" s="14" t="str">
        <x:v>TN</x:v>
      </x:c>
      <x:c r="D116" s="18"/>
      <x:c r="E116" s="18" t="n">
        <x:v>8668000000</x:v>
      </x:c>
      <x:c r="F116" s="18" t="n">
        <x:v>9976000000</x:v>
      </x:c>
      <x:c r="G116" s="18" t="n">
        <x:v>10864000000</x:v>
      </x:c>
      <x:c r="H116" s="14" t="str">
        <x:v>Còn hàng</x:v>
      </x:c>
      <x:c r="I116" s="14" t="str">
        <x:v>DA003</x:v>
      </x:c>
      <x:c r="J116" s="14" t="str">
        <x:v>LSP002</x:v>
      </x:c>
    </x:row>
    <x:row r="117" ht="20" customHeight="1">
      <x:c r="A117" s="14" t="str">
        <x:v>HH-A-23-19</x:v>
      </x:c>
      <x:c r="B117" s="14" t="n">
        <x:v>77.7</x:v>
      </x:c>
      <x:c r="C117" s="14" t="str">
        <x:v>TN</x:v>
      </x:c>
      <x:c r="D117" s="18"/>
      <x:c r="E117" s="18" t="n">
        <x:v>12149000000</x:v>
      </x:c>
      <x:c r="F117" s="18" t="n">
        <x:v>13981000000</x:v>
      </x:c>
      <x:c r="G117" s="18" t="n">
        <x:v>15225000000</x:v>
      </x:c>
      <x:c r="H117" s="14" t="str">
        <x:v>Còn hàng</x:v>
      </x:c>
      <x:c r="I117" s="14" t="str">
        <x:v>DA003</x:v>
      </x:c>
      <x:c r="J117" s="14" t="str">
        <x:v>LSP004</x:v>
      </x:c>
    </x:row>
    <x:row r="118" ht="20" customHeight="1">
      <x:c r="A118" s="14" t="str">
        <x:v>HH-A-29-20</x:v>
      </x:c>
      <x:c r="B118" s="14" t="n">
        <x:v>84.7</x:v>
      </x:c>
      <x:c r="C118" s="14" t="str">
        <x:v>TN</x:v>
      </x:c>
      <x:c r="D118" s="18"/>
      <x:c r="E118" s="18" t="n">
        <x:v>13138000000</x:v>
      </x:c>
      <x:c r="F118" s="18" t="n">
        <x:v>15120000000</x:v>
      </x:c>
      <x:c r="G118" s="18" t="n">
        <x:v>16462000000</x:v>
      </x:c>
      <x:c r="H118" s="14" t="str">
        <x:v>Còn hàng</x:v>
      </x:c>
      <x:c r="I118" s="14" t="str">
        <x:v>DA003</x:v>
      </x:c>
      <x:c r="J118" s="14" t="str">
        <x:v>LSP004</x:v>
      </x:c>
    </x:row>
    <x:row r="119" ht="20" customHeight="1">
      <x:c r="A119" s="14" t="str">
        <x:v>HH-A-30-15A</x:v>
      </x:c>
      <x:c r="B119" s="14" t="n">
        <x:v>81.4</x:v>
      </x:c>
      <x:c r="C119" s="14" t="str">
        <x:v>ĐB</x:v>
      </x:c>
      <x:c r="D119" s="18"/>
      <x:c r="E119" s="18" t="n">
        <x:v>12365000000</x:v>
      </x:c>
      <x:c r="F119" s="18" t="n">
        <x:v>14231000000</x:v>
      </x:c>
      <x:c r="G119" s="18" t="n">
        <x:v>15497000000</x:v>
      </x:c>
      <x:c r="H119" s="14" t="str">
        <x:v>Còn hàng</x:v>
      </x:c>
      <x:c r="I119" s="14" t="str">
        <x:v>DA003</x:v>
      </x:c>
      <x:c r="J119" s="14" t="str">
        <x:v>LSP004</x:v>
      </x:c>
    </x:row>
    <x:row r="120" ht="20" customHeight="1">
      <x:c r="A120" s="14" t="str">
        <x:v>HH-A-37-12A</x:v>
      </x:c>
      <x:c r="B120" s="14" t="n">
        <x:v>79.2</x:v>
      </x:c>
      <x:c r="C120" s="14" t="str">
        <x:v>ĐB</x:v>
      </x:c>
      <x:c r="D120" s="18"/>
      <x:c r="E120" s="18" t="n">
        <x:v>11760000000</x:v>
      </x:c>
      <x:c r="F120" s="18" t="n">
        <x:v>13534000000</x:v>
      </x:c>
      <x:c r="G120" s="18" t="n">
        <x:v>14739000000</x:v>
      </x:c>
      <x:c r="H120" s="14" t="str">
        <x:v>Còn hàng</x:v>
      </x:c>
      <x:c r="I120" s="14" t="str">
        <x:v>DA003</x:v>
      </x:c>
      <x:c r="J120" s="14" t="str">
        <x:v>LSP004</x:v>
      </x:c>
    </x:row>
    <x:row r="121" ht="20" customHeight="1">
      <x:c r="A121" s="14" t="str">
        <x:v>HH-A-41-12</x:v>
      </x:c>
      <x:c r="B121" s="14" t="n">
        <x:v>79.2</x:v>
      </x:c>
      <x:c r="C121" s="14" t="str">
        <x:v>ĐB</x:v>
      </x:c>
      <x:c r="D121" s="18"/>
      <x:c r="E121" s="18" t="n">
        <x:v>11602000000</x:v>
      </x:c>
      <x:c r="F121" s="18" t="n">
        <x:v>11602000000</x:v>
      </x:c>
      <x:c r="G121" s="18" t="n">
        <x:v>14538000000</x:v>
      </x:c>
      <x:c r="H121" s="14" t="str">
        <x:v>Còn hàng</x:v>
      </x:c>
      <x:c r="I121" s="14" t="str">
        <x:v>DA003</x:v>
      </x:c>
      <x:c r="J121" s="14" t="str">
        <x:v>LSP004</x:v>
      </x:c>
    </x:row>
    <x:row r="122" ht="20" customHeight="1">
      <x:c r="A122" s="14" t="str">
        <x:v>HH-A-42-12A</x:v>
      </x:c>
      <x:c r="B122" s="14" t="n">
        <x:v>81.9</x:v>
      </x:c>
      <x:c r="C122" s="14" t="str">
        <x:v>ĐB</x:v>
      </x:c>
      <x:c r="D122" s="18"/>
      <x:c r="E122" s="18" t="n">
        <x:v>11841000000</x:v>
      </x:c>
      <x:c r="F122" s="18" t="n">
        <x:v>13628000000</x:v>
      </x:c>
      <x:c r="G122" s="18" t="n">
        <x:v>14838000000</x:v>
      </x:c>
      <x:c r="H122" s="14" t="str">
        <x:v>Còn hàng</x:v>
      </x:c>
      <x:c r="I122" s="14" t="str">
        <x:v>DA003</x:v>
      </x:c>
      <x:c r="J122" s="14" t="str">
        <x:v>LSP004</x:v>
      </x:c>
    </x:row>
    <x:row r="123" ht="20" customHeight="1">
      <x:c r="A123" s="14" t="str">
        <x:v>HH-A-43-19</x:v>
      </x:c>
      <x:c r="B123" s="14" t="n">
        <x:v>84.9</x:v>
      </x:c>
      <x:c r="C123" s="14" t="str">
        <x:v>TN</x:v>
      </x:c>
      <x:c r="D123" s="18"/>
      <x:c r="E123" s="18" t="n">
        <x:v>12350000000</x:v>
      </x:c>
      <x:c r="F123" s="18" t="n">
        <x:v>14214000000</x:v>
      </x:c>
      <x:c r="G123" s="18" t="n">
        <x:v>15476000000</x:v>
      </x:c>
      <x:c r="H123" s="14" t="str">
        <x:v>Còn hàng</x:v>
      </x:c>
      <x:c r="I123" s="14" t="str">
        <x:v>DA003</x:v>
      </x:c>
      <x:c r="J123" s="14" t="str">
        <x:v>LSP004</x:v>
      </x:c>
    </x:row>
    <x:row r="124" ht="20" customHeight="1">
      <x:c r="A124" s="14" t="str">
        <x:v>HH-A-28-03</x:v>
      </x:c>
      <x:c r="B124" s="14" t="n">
        <x:v>87.4</x:v>
      </x:c>
      <x:c r="C124" s="14" t="str">
        <x:v>TB</x:v>
      </x:c>
      <x:c r="D124" s="18"/>
      <x:c r="E124" s="18" t="n">
        <x:v>12478000000</x:v>
      </x:c>
      <x:c r="F124" s="18" t="n">
        <x:v>14362000000</x:v>
      </x:c>
      <x:c r="G124" s="18" t="n">
        <x:v>15641000000</x:v>
      </x:c>
      <x:c r="H124" s="14" t="str">
        <x:v>Còn hàng</x:v>
      </x:c>
      <x:c r="I124" s="14" t="str">
        <x:v>DA003</x:v>
      </x:c>
      <x:c r="J124" s="14" t="str">
        <x:v>LSP005</x:v>
      </x:c>
    </x:row>
    <x:row r="125" ht="20" customHeight="1">
      <x:c r="A125" s="14" t="str">
        <x:v>HH-A-37-10</x:v>
      </x:c>
      <x:c r="B125" s="14" t="n">
        <x:v>86.2</x:v>
      </x:c>
      <x:c r="C125" s="14" t="str">
        <x:v>ĐN</x:v>
      </x:c>
      <x:c r="D125" s="18"/>
      <x:c r="E125" s="18" t="n">
        <x:v>12193000000</x:v>
      </x:c>
      <x:c r="F125" s="18" t="n">
        <x:v>14034000000</x:v>
      </x:c>
      <x:c r="G125" s="18" t="n">
        <x:v>15281000000</x:v>
      </x:c>
      <x:c r="H125" s="14" t="str">
        <x:v>Còn hàng</x:v>
      </x:c>
      <x:c r="I125" s="14" t="str">
        <x:v>DA003</x:v>
      </x:c>
      <x:c r="J125" s="14" t="str">
        <x:v>LSP005</x:v>
      </x:c>
    </x:row>
    <x:row r="126" ht="20" customHeight="1">
      <x:c r="A126" s="14" t="str">
        <x:v>HH-A-09-23</x:v>
      </x:c>
      <x:c r="B126" s="14" t="n">
        <x:v>141.7</x:v>
      </x:c>
      <x:c r="C126" s="14" t="str">
        <x:v>TB- TN</x:v>
      </x:c>
      <x:c r="D126" s="18"/>
      <x:c r="E126" s="18" t="n">
        <x:v>20058000000</x:v>
      </x:c>
      <x:c r="F126" s="18" t="n">
        <x:v>23087000000</x:v>
      </x:c>
      <x:c r="G126" s="18" t="n">
        <x:v>25137000000</x:v>
      </x:c>
      <x:c r="H126" s="14" t="str">
        <x:v>Còn hàng</x:v>
      </x:c>
      <x:c r="I126" s="14" t="str">
        <x:v>DA003</x:v>
      </x:c>
      <x:c r="J126" s="14" t="str">
        <x:v>LSP009</x:v>
      </x:c>
    </x:row>
    <x:row r="127" ht="20" customHeight="1">
      <x:c r="A127" s="14" t="str">
        <x:v>HH-A-44-06</x:v>
      </x:c>
      <x:c r="B127" s="14" t="n">
        <x:v>132.7</x:v>
      </x:c>
      <x:c r="C127" s="14" t="str">
        <x:v>ĐB - TB</x:v>
      </x:c>
      <x:c r="D127" s="18"/>
      <x:c r="E127" s="18" t="n">
        <x:v>19271000000</x:v>
      </x:c>
      <x:c r="F127" s="18" t="n">
        <x:v>22179000000</x:v>
      </x:c>
      <x:c r="G127" s="18" t="n">
        <x:v>24148000000</x:v>
      </x:c>
      <x:c r="H127" s="14" t="str">
        <x:v>Còn hàng</x:v>
      </x:c>
      <x:c r="I127" s="14" t="str">
        <x:v>DA003</x:v>
      </x:c>
      <x:c r="J127" s="14" t="str">
        <x:v>LSP009</x:v>
      </x:c>
    </x:row>
    <x:row r="128" ht="20" customHeight="1">
      <x:c r="A128" s="14" t="str">
        <x:v>HH-B-26-15</x:v>
      </x:c>
      <x:c r="B128" s="14" t="n">
        <x:v>101.7</x:v>
      </x:c>
      <x:c r="C128" s="14" t="str">
        <x:v>TB - TN</x:v>
      </x:c>
      <x:c r="D128" s="18"/>
      <x:c r="E128" s="18" t="n">
        <x:v>16253000000</x:v>
      </x:c>
      <x:c r="F128" s="18" t="n">
        <x:v>18704000000</x:v>
      </x:c>
      <x:c r="G128" s="18" t="n">
        <x:v>20369000000</x:v>
      </x:c>
      <x:c r="H128" s="14" t="str">
        <x:v>Còn hàng</x:v>
      </x:c>
      <x:c r="I128" s="14" t="str">
        <x:v>DA003</x:v>
      </x:c>
      <x:c r="J128" s="14" t="str">
        <x:v>LSP007</x:v>
      </x:c>
    </x:row>
    <x:row r="129" ht="20" customHeight="1">
      <x:c r="A129" s="14" t="str">
        <x:v>HH-B-29-11</x:v>
      </x:c>
      <x:c r="B129" s="14" t="n">
        <x:v>76.1</x:v>
      </x:c>
      <x:c r="C129" s="14" t="str">
        <x:v>ĐN</x:v>
      </x:c>
      <x:c r="D129" s="18"/>
      <x:c r="E129" s="18" t="n">
        <x:v>12423000000</x:v>
      </x:c>
      <x:c r="F129" s="18" t="n">
        <x:v>14296000000</x:v>
      </x:c>
      <x:c r="G129" s="18" t="n">
        <x:v>15564000000</x:v>
      </x:c>
      <x:c r="H129" s="14" t="str">
        <x:v>Còn hàng</x:v>
      </x:c>
      <x:c r="I129" s="14" t="str">
        <x:v>DA003</x:v>
      </x:c>
      <x:c r="J129" s="14" t="str">
        <x:v>LSP004</x:v>
      </x:c>
    </x:row>
    <x:row r="130" ht="20" customHeight="1">
      <x:c r="A130" s="14" t="str">
        <x:v>HH-B-12-08A</x:v>
      </x:c>
      <x:c r="B130" s="14" t="n">
        <x:v>47.9</x:v>
      </x:c>
      <x:c r="C130" s="14" t="str">
        <x:v>ĐB</x:v>
      </x:c>
      <x:c r="D130" s="18"/>
      <x:c r="E130" s="18" t="n">
        <x:v>6676000000</x:v>
      </x:c>
      <x:c r="F130" s="18" t="n">
        <x:v>7684000000</x:v>
      </x:c>
      <x:c r="G130" s="18" t="n">
        <x:v>8367000000</x:v>
      </x:c>
      <x:c r="H130" s="14" t="str">
        <x:v>Còn hàng</x:v>
      </x:c>
      <x:c r="I130" s="14" t="str">
        <x:v>DA003</x:v>
      </x:c>
      <x:c r="J130" s="14" t="str">
        <x:v>LSP002</x:v>
      </x:c>
    </x:row>
    <x:row r="131" ht="20" customHeight="1">
      <x:c r="A131" s="14" t="str">
        <x:v>HH-B-18-06</x:v>
      </x:c>
      <x:c r="B131" s="14" t="n">
        <x:v>48</x:v>
      </x:c>
      <x:c r="C131" s="14" t="str">
        <x:v>ĐB</x:v>
      </x:c>
      <x:c r="D131" s="18"/>
      <x:c r="E131" s="18" t="n">
        <x:v>7120000000</x:v>
      </x:c>
      <x:c r="F131" s="18" t="n">
        <x:v>8195000000</x:v>
      </x:c>
      <x:c r="G131" s="18" t="n">
        <x:v>8922000000</x:v>
      </x:c>
      <x:c r="H131" s="14" t="str">
        <x:v>Còn hàng</x:v>
      </x:c>
      <x:c r="I131" s="14" t="str">
        <x:v>DA003</x:v>
      </x:c>
      <x:c r="J131" s="14" t="str">
        <x:v>LSP002</x:v>
      </x:c>
    </x:row>
    <x:row r="132" ht="20" customHeight="1">
      <x:c r="A132" s="14" t="str">
        <x:v>HH-B-22-23</x:v>
      </x:c>
      <x:c r="B132" s="14" t="n">
        <x:v>47.9</x:v>
      </x:c>
      <x:c r="C132" s="14" t="str">
        <x:v>TN</x:v>
      </x:c>
      <x:c r="D132" s="18"/>
      <x:c r="E132" s="18" t="n">
        <x:v>7683000000</x:v>
      </x:c>
      <x:c r="F132" s="18" t="n">
        <x:v>8841000000</x:v>
      </x:c>
      <x:c r="G132" s="18" t="n">
        <x:v>9626000000</x:v>
      </x:c>
      <x:c r="H132" s="14" t="str">
        <x:v>Còn hàng</x:v>
      </x:c>
      <x:c r="I132" s="14" t="str">
        <x:v>DA003</x:v>
      </x:c>
      <x:c r="J132" s="14" t="str">
        <x:v>LSP002</x:v>
      </x:c>
    </x:row>
    <x:row r="133" ht="20" customHeight="1">
      <x:c r="A133" s="14" t="str">
        <x:v>HH-B-23-25</x:v>
      </x:c>
      <x:c r="B133" s="14" t="n">
        <x:v>48.5</x:v>
      </x:c>
      <x:c r="C133" s="14" t="str">
        <x:v>TN</x:v>
      </x:c>
      <x:c r="D133" s="18"/>
      <x:c r="E133" s="18" t="n">
        <x:v>7645000000</x:v>
      </x:c>
      <x:c r="F133" s="18" t="n">
        <x:v>8798000000</x:v>
      </x:c>
      <x:c r="G133" s="18" t="n">
        <x:v>9579000000</x:v>
      </x:c>
      <x:c r="H133" s="14" t="str">
        <x:v>Còn hàng</x:v>
      </x:c>
      <x:c r="I133" s="14" t="str">
        <x:v>DA003</x:v>
      </x:c>
      <x:c r="J133" s="14" t="str">
        <x:v>LSP002</x:v>
      </x:c>
    </x:row>
    <x:row r="134" ht="20" customHeight="1">
      <x:c r="A134" s="14" t="str">
        <x:v>HH-B-24-08A</x:v>
      </x:c>
      <x:c r="B134" s="14" t="n">
        <x:v>47.9</x:v>
      </x:c>
      <x:c r="C134" s="14" t="str">
        <x:v>ĐB</x:v>
      </x:c>
      <x:c r="D134" s="18"/>
      <x:c r="E134" s="18" t="n">
        <x:v>7260000000</x:v>
      </x:c>
      <x:c r="F134" s="18" t="n">
        <x:v>8355000000</x:v>
      </x:c>
      <x:c r="G134" s="18" t="n">
        <x:v>9099000000</x:v>
      </x:c>
      <x:c r="H134" s="14" t="str">
        <x:v>Còn hàng</x:v>
      </x:c>
      <x:c r="I134" s="14" t="str">
        <x:v>DA003</x:v>
      </x:c>
      <x:c r="J134" s="14" t="str">
        <x:v>LSP002</x:v>
      </x:c>
    </x:row>
    <x:row r="135" ht="20" customHeight="1">
      <x:c r="A135" s="14" t="str">
        <x:v>HH-B-29-05</x:v>
      </x:c>
      <x:c r="B135" s="14" t="n">
        <x:v>47.7</x:v>
      </x:c>
      <x:c r="C135" s="14" t="str">
        <x:v>ĐB</x:v>
      </x:c>
      <x:c r="D135" s="18"/>
      <x:c r="E135" s="18" t="n">
        <x:v>7236000000</x:v>
      </x:c>
      <x:c r="F135" s="18" t="n">
        <x:v>8328000000</x:v>
      </x:c>
      <x:c r="G135" s="18" t="n">
        <x:v>9068000000</x:v>
      </x:c>
      <x:c r="H135" s="14" t="str">
        <x:v>Còn hàng</x:v>
      </x:c>
      <x:c r="I135" s="14" t="str">
        <x:v>DA003</x:v>
      </x:c>
      <x:c r="J135" s="14" t="str">
        <x:v>LSP002</x:v>
      </x:c>
    </x:row>
    <x:row r="136" ht="20" customHeight="1">
      <x:c r="A136" s="14" t="str">
        <x:v>HH-B-30-12</x:v>
      </x:c>
      <x:c r="B136" s="14" t="n">
        <x:v>52</x:v>
      </x:c>
      <x:c r="C136" s="14" t="str">
        <x:v>ĐN</x:v>
      </x:c>
      <x:c r="D136" s="18"/>
      <x:c r="E136" s="18" t="n">
        <x:v>8638000000</x:v>
      </x:c>
      <x:c r="F136" s="18" t="n">
        <x:v>9940000000</x:v>
      </x:c>
      <x:c r="G136" s="18" t="n">
        <x:v>10822000000</x:v>
      </x:c>
      <x:c r="H136" s="14" t="str">
        <x:v>Còn hàng</x:v>
      </x:c>
      <x:c r="I136" s="14" t="str">
        <x:v>DA003</x:v>
      </x:c>
      <x:c r="J136" s="14" t="str">
        <x:v>LSP002</x:v>
      </x:c>
    </x:row>
    <x:row r="137" ht="20" customHeight="1">
      <x:c r="A137" s="14" t="str">
        <x:v>HH-B-30-21</x:v>
      </x:c>
      <x:c r="B137" s="14" t="n">
        <x:v>48.5</x:v>
      </x:c>
      <x:c r="C137" s="14" t="str">
        <x:v>TN</x:v>
      </x:c>
      <x:c r="D137" s="18"/>
      <x:c r="E137" s="18" t="n">
        <x:v>7677000000</x:v>
      </x:c>
      <x:c r="F137" s="18" t="n">
        <x:v>8834000000</x:v>
      </x:c>
      <x:c r="G137" s="18" t="n">
        <x:v>9618000000</x:v>
      </x:c>
      <x:c r="H137" s="14" t="str">
        <x:v>Còn hàng</x:v>
      </x:c>
      <x:c r="I137" s="14" t="str">
        <x:v>DA003</x:v>
      </x:c>
      <x:c r="J137" s="14" t="str">
        <x:v>LSP002</x:v>
      </x:c>
    </x:row>
    <x:row r="138" ht="20" customHeight="1">
      <x:c r="A138" s="14" t="str">
        <x:v>HH-B-34-12</x:v>
      </x:c>
      <x:c r="B138" s="14" t="n">
        <x:v>52</x:v>
      </x:c>
      <x:c r="C138" s="14" t="str">
        <x:v>ĐN</x:v>
      </x:c>
      <x:c r="D138" s="18"/>
      <x:c r="E138" s="18" t="n">
        <x:v>8386000000</x:v>
      </x:c>
      <x:c r="F138" s="18" t="n">
        <x:v>9651000000</x:v>
      </x:c>
      <x:c r="G138" s="18" t="n">
        <x:v>10507000000</x:v>
      </x:c>
      <x:c r="H138" s="14" t="str">
        <x:v>Còn hàng</x:v>
      </x:c>
      <x:c r="I138" s="14" t="str">
        <x:v>DA003</x:v>
      </x:c>
      <x:c r="J138" s="14" t="str">
        <x:v>LSP002</x:v>
      </x:c>
    </x:row>
    <x:row r="139" ht="20" customHeight="1">
      <x:c r="A139" s="14" t="str">
        <x:v>HH-B-35-23</x:v>
      </x:c>
      <x:c r="B139" s="14" t="n">
        <x:v>48.2</x:v>
      </x:c>
      <x:c r="C139" s="14" t="str">
        <x:v>TN</x:v>
      </x:c>
      <x:c r="D139" s="18"/>
      <x:c r="E139" s="18" t="n">
        <x:v>7481000000</x:v>
      </x:c>
      <x:c r="F139" s="18" t="n">
        <x:v>8609000000</x:v>
      </x:c>
      <x:c r="G139" s="18" t="n">
        <x:v>9373000000</x:v>
      </x:c>
      <x:c r="H139" s="14" t="str">
        <x:v>Còn hàng</x:v>
      </x:c>
      <x:c r="I139" s="14" t="str">
        <x:v>DA003</x:v>
      </x:c>
      <x:c r="J139" s="14" t="str">
        <x:v>LSP002</x:v>
      </x:c>
    </x:row>
    <x:row r="140" ht="20" customHeight="1">
      <x:c r="A140" s="14" t="str">
        <x:v>HH-B-36-02</x:v>
      </x:c>
      <x:c r="B140" s="14" t="n">
        <x:v>49.6</x:v>
      </x:c>
      <x:c r="C140" s="14" t="str">
        <x:v>ĐB</x:v>
      </x:c>
      <x:c r="D140" s="18"/>
      <x:c r="E140" s="18" t="n">
        <x:v>7225000000</x:v>
      </x:c>
      <x:c r="F140" s="18" t="n">
        <x:v>8315000000</x:v>
      </x:c>
      <x:c r="G140" s="18" t="n">
        <x:v>9053000000</x:v>
      </x:c>
      <x:c r="H140" s="14" t="str">
        <x:v>Còn hàng</x:v>
      </x:c>
      <x:c r="I140" s="14" t="str">
        <x:v>DA003</x:v>
      </x:c>
      <x:c r="J140" s="14" t="str">
        <x:v>LSP002</x:v>
      </x:c>
    </x:row>
    <x:row r="141" ht="20" customHeight="1">
      <x:c r="A141" s="14" t="str">
        <x:v>HH-B-36-21</x:v>
      </x:c>
      <x:c r="B141" s="14" t="n">
        <x:v>48.7</x:v>
      </x:c>
      <x:c r="C141" s="14" t="str">
        <x:v>TN</x:v>
      </x:c>
      <x:c r="D141" s="18"/>
      <x:c r="E141" s="18" t="n">
        <x:v>7444000000</x:v>
      </x:c>
      <x:c r="F141" s="18" t="n">
        <x:v>8567000000</x:v>
      </x:c>
      <x:c r="G141" s="18" t="n">
        <x:v>9327000000</x:v>
      </x:c>
      <x:c r="H141" s="14" t="str">
        <x:v>Còn hàng</x:v>
      </x:c>
      <x:c r="I141" s="14" t="str">
        <x:v>DA003</x:v>
      </x:c>
      <x:c r="J141" s="14" t="str">
        <x:v>LSP002</x:v>
      </x:c>
    </x:row>
    <x:row r="142" ht="20" customHeight="1">
      <x:c r="A142" s="14" t="str">
        <x:v>HH-B-37-25</x:v>
      </x:c>
      <x:c r="B142" s="14" t="n">
        <x:v>48.5</x:v>
      </x:c>
      <x:c r="C142" s="14" t="str">
        <x:v>TN</x:v>
      </x:c>
      <x:c r="D142" s="18"/>
      <x:c r="E142" s="18" t="n">
        <x:v>7229000000</x:v>
      </x:c>
      <x:c r="F142" s="18" t="n">
        <x:v>8320000000</x:v>
      </x:c>
      <x:c r="G142" s="18" t="n">
        <x:v>9059000000</x:v>
      </x:c>
      <x:c r="H142" s="14" t="str">
        <x:v>Còn hàng</x:v>
      </x:c>
      <x:c r="I142" s="14" t="str">
        <x:v>DA003</x:v>
      </x:c>
      <x:c r="J142" s="14" t="str">
        <x:v>LSP002</x:v>
      </x:c>
    </x:row>
    <x:row r="143" ht="20" customHeight="1">
      <x:c r="A143" s="14" t="str">
        <x:v>HH-B-38-22</x:v>
      </x:c>
      <x:c r="B143" s="14" t="n">
        <x:v>48.2</x:v>
      </x:c>
      <x:c r="C143" s="14" t="str">
        <x:v>TN</x:v>
      </x:c>
      <x:c r="D143" s="18"/>
      <x:c r="E143" s="18" t="n">
        <x:v>7272000000</x:v>
      </x:c>
      <x:c r="F143" s="18" t="n">
        <x:v>8369000000</x:v>
      </x:c>
      <x:c r="G143" s="18" t="n">
        <x:v>9112000000</x:v>
      </x:c>
      <x:c r="H143" s="14" t="str">
        <x:v>Còn hàng</x:v>
      </x:c>
      <x:c r="I143" s="14" t="str">
        <x:v>DA003</x:v>
      </x:c>
      <x:c r="J143" s="14" t="str">
        <x:v>LSP002</x:v>
      </x:c>
    </x:row>
    <x:row r="144" ht="20" customHeight="1">
      <x:c r="A144" s="14" t="str">
        <x:v>HH-B-04-09</x:v>
      </x:c>
      <x:c r="B144" s="14" t="n">
        <x:v>83.2</x:v>
      </x:c>
      <x:c r="C144" s="14" t="str">
        <x:v>Đông Nam</x:v>
      </x:c>
      <x:c r="D144" s="18"/>
      <x:c r="E144" s="18" t="n">
        <x:v>11153000000</x:v>
      </x:c>
      <x:c r="F144" s="18" t="n">
        <x:v>12837000000</x:v>
      </x:c>
      <x:c r="G144" s="18" t="n">
        <x:v>13978000000</x:v>
      </x:c>
      <x:c r="H144" s="14" t="str">
        <x:v>Còn hàng</x:v>
      </x:c>
      <x:c r="I144" s="14" t="str">
        <x:v>DA003</x:v>
      </x:c>
      <x:c r="J144" s="14" t="str">
        <x:v>LSP005</x:v>
      </x:c>
    </x:row>
    <x:row r="145" ht="20" customHeight="1">
      <x:c r="A145" s="14" t="str">
        <x:v>HH-B-29-20</x:v>
      </x:c>
      <x:c r="B145" s="14" t="n">
        <x:v>67.1</x:v>
      </x:c>
      <x:c r="C145" s="14" t="str">
        <x:v>TB</x:v>
      </x:c>
      <x:c r="D145" s="18"/>
      <x:c r="E145" s="18" t="n">
        <x:v>10576000000</x:v>
      </x:c>
      <x:c r="F145" s="18" t="n">
        <x:v>12171000000</x:v>
      </x:c>
      <x:c r="G145" s="18" t="n">
        <x:v>13251000000</x:v>
      </x:c>
      <x:c r="H145" s="14" t="str">
        <x:v>Còn hàng</x:v>
      </x:c>
      <x:c r="I145" s="14" t="str">
        <x:v>DA003</x:v>
      </x:c>
      <x:c r="J145" s="14" t="str">
        <x:v>LSP004</x:v>
      </x:c>
    </x:row>
    <x:row r="146" ht="20" customHeight="1">
      <x:c r="A146" s="14" t="str">
        <x:v>HH-B-42-20</x:v>
      </x:c>
      <x:c r="B146" s="14" t="n">
        <x:v>67.4</x:v>
      </x:c>
      <x:c r="C146" s="14" t="str">
        <x:v>TB</x:v>
      </x:c>
      <x:c r="D146" s="18"/>
      <x:c r="E146" s="18" t="n">
        <x:v>9613000000</x:v>
      </x:c>
      <x:c r="F146" s="18" t="n">
        <x:v>11064000000</x:v>
      </x:c>
      <x:c r="G146" s="18" t="n">
        <x:v>12046000000</x:v>
      </x:c>
      <x:c r="H146" s="14" t="str">
        <x:v>Còn hàng</x:v>
      </x:c>
      <x:c r="I146" s="14" t="str">
        <x:v>DA003</x:v>
      </x:c>
      <x:c r="J146" s="14" t="str">
        <x:v>LSP004</x:v>
      </x:c>
    </x:row>
    <x:row r="147" ht="20" customHeight="1">
      <x:c r="A147" s="14" t="str">
        <x:v>HH-B-06-12A</x:v>
      </x:c>
      <x:c r="B147" s="14" t="n">
        <x:v>76.2</x:v>
      </x:c>
      <x:c r="C147" s="14" t="str">
        <x:v>ĐN</x:v>
      </x:c>
      <x:c r="D147" s="18"/>
      <x:c r="E147" s="18" t="n">
        <x:v>10810000000</x:v>
      </x:c>
      <x:c r="F147" s="18" t="n">
        <x:v>12443000000</x:v>
      </x:c>
      <x:c r="G147" s="18" t="n">
        <x:v>13551000000</x:v>
      </x:c>
      <x:c r="H147" s="14" t="str">
        <x:v>Còn hàng</x:v>
      </x:c>
      <x:c r="I147" s="14" t="str">
        <x:v>DA003</x:v>
      </x:c>
      <x:c r="J147" s="14" t="str">
        <x:v>LSP005</x:v>
      </x:c>
    </x:row>
    <x:row r="148" ht="20" customHeight="1">
      <x:c r="A148" s="14" t="str">
        <x:v>HH-B-10-16</x:v>
      </x:c>
      <x:c r="B148" s="14" t="n">
        <x:v>74.7</x:v>
      </x:c>
      <x:c r="C148" s="14" t="str">
        <x:v>TB</x:v>
      </x:c>
      <x:c r="D148" s="18"/>
      <x:c r="E148" s="18" t="n">
        <x:v>10275000000</x:v>
      </x:c>
      <x:c r="F148" s="18" t="n">
        <x:v>11827000000</x:v>
      </x:c>
      <x:c r="G148" s="18" t="n">
        <x:v>12878000000</x:v>
      </x:c>
      <x:c r="H148" s="14" t="str">
        <x:v>Còn hàng</x:v>
      </x:c>
      <x:c r="I148" s="14" t="str">
        <x:v>DA003</x:v>
      </x:c>
      <x:c r="J148" s="14" t="str">
        <x:v>LSP005</x:v>
      </x:c>
    </x:row>
    <x:row r="149" ht="20" customHeight="1">
      <x:c r="A149" s="14" t="str">
        <x:v>HH-B-14-03</x:v>
      </x:c>
      <x:c r="B149" s="14" t="n">
        <x:v>79</x:v>
      </x:c>
      <x:c r="C149" s="14" t="str">
        <x:v>ĐB</x:v>
      </x:c>
      <x:c r="D149" s="18"/>
      <x:c r="E149" s="18" t="n">
        <x:v>10872000000</x:v>
      </x:c>
      <x:c r="F149" s="18" t="n">
        <x:v>12514000000</x:v>
      </x:c>
      <x:c r="G149" s="18" t="n">
        <x:v>13626000000</x:v>
      </x:c>
      <x:c r="H149" s="14" t="str">
        <x:v>Còn hàng</x:v>
      </x:c>
      <x:c r="I149" s="14" t="str">
        <x:v>DA003</x:v>
      </x:c>
      <x:c r="J149" s="14" t="str">
        <x:v>LSP005</x:v>
      </x:c>
    </x:row>
    <x:row r="150" ht="20" customHeight="1">
      <x:c r="A150" s="14" t="str">
        <x:v>HH-B-15-05A</x:v>
      </x:c>
      <x:c r="B150" s="14" t="n">
        <x:v>74.7</x:v>
      </x:c>
      <x:c r="C150" s="14" t="str">
        <x:v>ĐB</x:v>
      </x:c>
      <x:c r="D150" s="18"/>
      <x:c r="E150" s="18" t="n">
        <x:v>10516000000</x:v>
      </x:c>
      <x:c r="F150" s="18" t="n">
        <x:v>12104000000</x:v>
      </x:c>
      <x:c r="G150" s="18" t="n">
        <x:v>13179000000</x:v>
      </x:c>
      <x:c r="H150" s="14" t="str">
        <x:v>Còn hàng</x:v>
      </x:c>
      <x:c r="I150" s="14" t="str">
        <x:v>DA003</x:v>
      </x:c>
      <x:c r="J150" s="14" t="str">
        <x:v>LSP005</x:v>
      </x:c>
    </x:row>
    <x:row r="151" ht="20" customHeight="1">
      <x:c r="A151" s="14" t="str">
        <x:v>HH-B-17-18</x:v>
      </x:c>
      <x:c r="B151" s="14" t="n">
        <x:v>79.2</x:v>
      </x:c>
      <x:c r="C151" s="14" t="str">
        <x:v>TB</x:v>
      </x:c>
      <x:c r="D151" s="18"/>
      <x:c r="E151" s="18" t="n">
        <x:v>11643000000</x:v>
      </x:c>
      <x:c r="F151" s="18" t="n">
        <x:v>13400000000</x:v>
      </x:c>
      <x:c r="G151" s="18" t="n">
        <x:v>14590000000</x:v>
      </x:c>
      <x:c r="H151" s="14" t="str">
        <x:v>Đã bán</x:v>
      </x:c>
      <x:c r="I151" s="14" t="str">
        <x:v>DA003</x:v>
      </x:c>
      <x:c r="J151" s="14" t="str">
        <x:v>LSP005</x:v>
      </x:c>
    </x:row>
    <x:row r="152" ht="20" customHeight="1">
      <x:c r="A152" s="14" t="str">
        <x:v>HH-B-24-16</x:v>
      </x:c>
      <x:c r="B152" s="14" t="n">
        <x:v>75</x:v>
      </x:c>
      <x:c r="C152" s="14" t="str">
        <x:v>TB</x:v>
      </x:c>
      <x:c r="D152" s="18"/>
      <x:c r="E152" s="18" t="n">
        <x:v>11465000000</x:v>
      </x:c>
      <x:c r="F152" s="18" t="n">
        <x:v>13194000000</x:v>
      </x:c>
      <x:c r="G152" s="18" t="n">
        <x:v>14365000000</x:v>
      </x:c>
      <x:c r="H152" s="14" t="str">
        <x:v>Còn hàng</x:v>
      </x:c>
      <x:c r="I152" s="14" t="str">
        <x:v>DA003</x:v>
      </x:c>
      <x:c r="J152" s="14" t="str">
        <x:v>LSP005</x:v>
      </x:c>
    </x:row>
    <x:row r="153" ht="20" customHeight="1">
      <x:c r="A153" s="14" t="str">
        <x:v>HH-B-29-03</x:v>
      </x:c>
      <x:c r="B153" s="14" t="n">
        <x:v>79</x:v>
      </x:c>
      <x:c r="C153" s="14" t="str">
        <x:v>ĐB</x:v>
      </x:c>
      <x:c r="D153" s="18"/>
      <x:c r="E153" s="18" t="n">
        <x:v>11915000000</x:v>
      </x:c>
      <x:c r="F153" s="18" t="n">
        <x:v>13713000000</x:v>
      </x:c>
      <x:c r="G153" s="18" t="n">
        <x:v>14930000000</x:v>
      </x:c>
      <x:c r="H153" s="14" t="str">
        <x:v>Còn hàng</x:v>
      </x:c>
      <x:c r="I153" s="14" t="str">
        <x:v>DA003</x:v>
      </x:c>
      <x:c r="J153" s="14" t="str">
        <x:v>LSP005</x:v>
      </x:c>
    </x:row>
    <x:row r="154" ht="20" customHeight="1">
      <x:c r="A154" s="14" t="str">
        <x:v>HH-B-33-05A</x:v>
      </x:c>
      <x:c r="B154" s="14" t="n">
        <x:v>74.7</x:v>
      </x:c>
      <x:c r="C154" s="14" t="str">
        <x:v>ĐB</x:v>
      </x:c>
      <x:c r="D154" s="18"/>
      <x:c r="E154" s="18" t="n">
        <x:v>10842000000</x:v>
      </x:c>
      <x:c r="F154" s="18" t="n">
        <x:v>12478000000</x:v>
      </x:c>
      <x:c r="G154" s="18" t="n">
        <x:v>13586000000</x:v>
      </x:c>
      <x:c r="H154" s="14" t="str">
        <x:v>Còn hàng</x:v>
      </x:c>
      <x:c r="I154" s="14" t="str">
        <x:v>DA003</x:v>
      </x:c>
      <x:c r="J154" s="14" t="str">
        <x:v>LSP005</x:v>
      </x:c>
    </x:row>
    <x:row r="155" ht="20" customHeight="1">
      <x:c r="A155" s="14" t="str">
        <x:v>HH-B-34-10</x:v>
      </x:c>
      <x:c r="B155" s="14" t="n">
        <x:v>75.9</x:v>
      </x:c>
      <x:c r="C155" s="14" t="str">
        <x:v>ĐN</x:v>
      </x:c>
      <x:c r="D155" s="18"/>
      <x:c r="E155" s="18" t="n">
        <x:v>12134000000</x:v>
      </x:c>
      <x:c r="F155" s="18" t="n">
        <x:v>13964000000</x:v>
      </x:c>
      <x:c r="G155" s="18" t="n">
        <x:v>15203000000</x:v>
      </x:c>
      <x:c r="H155" s="14" t="str">
        <x:v>Còn hàng</x:v>
      </x:c>
      <x:c r="I155" s="14" t="str">
        <x:v>DA003</x:v>
      </x:c>
      <x:c r="J155" s="14" t="str">
        <x:v>LSP005</x:v>
      </x:c>
    </x:row>
    <x:row r="156" ht="20" customHeight="1">
      <x:c r="A156" s="14" t="str">
        <x:v>HH-B-34-12A</x:v>
      </x:c>
      <x:c r="B156" s="14" t="n">
        <x:v>77.6</x:v>
      </x:c>
      <x:c r="C156" s="14" t="str">
        <x:v>ĐN</x:v>
      </x:c>
      <x:c r="D156" s="18"/>
      <x:c r="E156" s="18" t="n">
        <x:v>12116000000</x:v>
      </x:c>
      <x:c r="F156" s="18" t="n">
        <x:v>13944000000</x:v>
      </x:c>
      <x:c r="G156" s="18" t="n">
        <x:v>15181000000</x:v>
      </x:c>
      <x:c r="H156" s="14" t="str">
        <x:v>Còn hàng</x:v>
      </x:c>
      <x:c r="I156" s="14" t="str">
        <x:v>DA003</x:v>
      </x:c>
      <x:c r="J156" s="14" t="str">
        <x:v>LSP005</x:v>
      </x:c>
    </x:row>
    <x:row r="157" ht="20" customHeight="1">
      <x:c r="A157" s="14" t="str">
        <x:v>HH-B-39-18A</x:v>
      </x:c>
      <x:c r="B157" s="14" t="n">
        <x:v>79.1</x:v>
      </x:c>
      <x:c r="C157" s="14" t="str">
        <x:v>TB</x:v>
      </x:c>
      <x:c r="D157" s="18"/>
      <x:c r="E157" s="18" t="n">
        <x:v>11307000000</x:v>
      </x:c>
      <x:c r="F157" s="18" t="n">
        <x:v>13014000000</x:v>
      </x:c>
      <x:c r="G157" s="18" t="n">
        <x:v>14169000000</x:v>
      </x:c>
      <x:c r="H157" s="14" t="str">
        <x:v>Còn hàng</x:v>
      </x:c>
      <x:c r="I157" s="14" t="str">
        <x:v>DA003</x:v>
      </x:c>
      <x:c r="J157" s="14" t="str">
        <x:v>LSP005</x:v>
      </x:c>
    </x:row>
    <x:row r="158" ht="20" customHeight="1">
      <x:c r="A158" s="14" t="str">
        <x:v>HH-B-40-09</x:v>
      </x:c>
      <x:c r="B158" s="14" t="n">
        <x:v>82.9</x:v>
      </x:c>
      <x:c r="C158" s="14" t="str">
        <x:v>ĐN</x:v>
      </x:c>
      <x:c r="D158" s="18"/>
      <x:c r="E158" s="18" t="n">
        <x:v>12403000000</x:v>
      </x:c>
      <x:c r="F158" s="18" t="n">
        <x:v>14274000000</x:v>
      </x:c>
      <x:c r="G158" s="18" t="n">
        <x:v>15541000000</x:v>
      </x:c>
      <x:c r="H158" s="14" t="str">
        <x:v>Còn hàng</x:v>
      </x:c>
      <x:c r="I158" s="14" t="str">
        <x:v>DA003</x:v>
      </x:c>
      <x:c r="J158" s="14" t="str">
        <x:v>LSP005</x:v>
      </x:c>
    </x:row>
    <x:row r="159" ht="20" customHeight="1">
      <x:c r="A159" s="14" t="str">
        <x:v>HH-B-42-26</x:v>
      </x:c>
      <x:c r="B159" s="14" t="n">
        <x:v>107.2</x:v>
      </x:c>
      <x:c r="C159" s="14" t="str">
        <x:v>TN - TB</x:v>
      </x:c>
      <x:c r="D159" s="18"/>
      <x:c r="E159" s="18" t="n">
        <x:v>15550000000</x:v>
      </x:c>
      <x:c r="F159" s="18" t="n">
        <x:v>17898000000</x:v>
      </x:c>
      <x:c r="G159" s="18" t="n">
        <x:v>19486000000</x:v>
      </x:c>
      <x:c r="H159" s="14" t="str">
        <x:v>Còn hàng</x:v>
      </x:c>
      <x:c r="I159" s="14" t="str">
        <x:v>DA003</x:v>
      </x:c>
      <x:c r="J159" s="14" t="str">
        <x:v>LSP007</x:v>
      </x:c>
    </x:row>
    <x:row r="160" ht="20" customHeight="1">
      <x:c r="A160" s="14" t="str">
        <x:v>HH-B-34-15A</x:v>
      </x:c>
      <x:c r="B160" s="14" t="n">
        <x:v>127.5</x:v>
      </x:c>
      <x:c r="C160" s="14" t="str">
        <x:v>ĐN - TN</x:v>
      </x:c>
      <x:c r="D160" s="18"/>
      <x:c r="E160" s="18" t="n">
        <x:v>20956000000</x:v>
      </x:c>
      <x:c r="F160" s="18" t="n">
        <x:v>24116000000</x:v>
      </x:c>
      <x:c r="G160" s="18" t="n">
        <x:v>26254000000</x:v>
      </x:c>
      <x:c r="H160" s="14" t="str">
        <x:v>Còn hàng</x:v>
      </x:c>
      <x:c r="I160" s="14" t="str">
        <x:v>DA003</x:v>
      </x:c>
      <x:c r="J160" s="14" t="str">
        <x:v>LSP009</x:v>
      </x:c>
    </x:row>
    <x:row r="161" ht="20" customHeight="1">
      <x:c r="A161" s="14" t="str">
        <x:v>C5L1-08-05A</x:v>
      </x:c>
      <x:c r="B161" s="14" t="n">
        <x:v>70.7</x:v>
      </x:c>
      <x:c r="C161" s="14" t="str">
        <x:v>TB</x:v>
      </x:c>
      <x:c r="D161" s="18" t="n">
        <x:v>4787971983</x:v>
      </x:c>
      <x:c r="E161" s="18" t="n">
        <x:v>4494000000</x:v>
      </x:c>
      <x:c r="F161" s="18" t="n">
        <x:v>4970000000</x:v>
      </x:c>
      <x:c r="G161" s="18" t="n">
        <x:v>5288000000</x:v>
      </x:c>
      <x:c r="H161" s="14" t="str">
        <x:v>Đã bán</x:v>
      </x:c>
      <x:c r="I161" s="14" t="str">
        <x:v>DA004</x:v>
      </x:c>
      <x:c r="J161" s="14" t="str">
        <x:v>LSP005</x:v>
      </x:c>
    </x:row>
    <x:row r="162" ht="20" customHeight="1">
      <x:c r="A162" s="14" t="str">
        <x:v>C5L1-08-22</x:v>
      </x:c>
      <x:c r="B162" s="14" t="n">
        <x:v>47.8</x:v>
      </x:c>
      <x:c r="C162" s="14" t="str">
        <x:v>TN</x:v>
      </x:c>
      <x:c r="D162" s="18" t="n">
        <x:v>3417724808</x:v>
      </x:c>
      <x:c r="E162" s="18" t="n">
        <x:v>3208000000</x:v>
      </x:c>
      <x:c r="F162" s="18" t="n">
        <x:v>3549000000</x:v>
      </x:c>
      <x:c r="G162" s="18" t="n">
        <x:v>3776000000</x:v>
      </x:c>
      <x:c r="H162" s="14" t="str">
        <x:v>Còn hàng</x:v>
      </x:c>
      <x:c r="I162" s="14" t="str">
        <x:v>DA004</x:v>
      </x:c>
      <x:c r="J162" s="14" t="str">
        <x:v>LSP003</x:v>
      </x:c>
    </x:row>
    <x:row r="163" ht="20" customHeight="1">
      <x:c r="A163" s="14" t="str">
        <x:v>C5L1-20-11</x:v>
      </x:c>
      <x:c r="B163" s="14" t="n">
        <x:v>65.7</x:v>
      </x:c>
      <x:c r="C163" s="14" t="str">
        <x:v>ĐB</x:v>
      </x:c>
      <x:c r="D163" s="18" t="n">
        <x:v>4589630260</x:v>
      </x:c>
      <x:c r="E163" s="18" t="n">
        <x:v>4308000000</x:v>
      </x:c>
      <x:c r="F163" s="18" t="n">
        <x:v>4765000000</x:v>
      </x:c>
      <x:c r="G163" s="18" t="n">
        <x:v>5069000000</x:v>
      </x:c>
      <x:c r="H163" s="14" t="str">
        <x:v>Còn hàng</x:v>
      </x:c>
      <x:c r="I163" s="14" t="str">
        <x:v>DA004</x:v>
      </x:c>
      <x:c r="J163" s="14" t="str">
        <x:v>LSP005</x:v>
      </x:c>
    </x:row>
    <x:row r="164" ht="20" customHeight="1">
      <x:c r="A164" s="14" t="str">
        <x:v>C5L1-08-12A</x:v>
      </x:c>
      <x:c r="B164" s="14" t="n">
        <x:v>42.7</x:v>
      </x:c>
      <x:c r="C164" s="14" t="str">
        <x:v>ĐB</x:v>
      </x:c>
      <x:c r="D164" s="18" t="n">
        <x:v>2884543161</x:v>
      </x:c>
      <x:c r="E164" s="18" t="n">
        <x:v>2708000000</x:v>
      </x:c>
      <x:c r="F164" s="18" t="n">
        <x:v>2995000000</x:v>
      </x:c>
      <x:c r="G164" s="18" t="n">
        <x:v>3187000000</x:v>
      </x:c>
      <x:c r="H164" s="14" t="str">
        <x:v>Đã bán</x:v>
      </x:c>
      <x:c r="I164" s="14" t="str">
        <x:v>DA004</x:v>
      </x:c>
      <x:c r="J164" s="14" t="str">
        <x:v>LSP002</x:v>
      </x:c>
    </x:row>
    <x:row r="165" ht="20" customHeight="1">
      <x:c r="A165" s="14" t="str">
        <x:v>C5L2-23-09</x:v>
      </x:c>
      <x:c r="B165" s="14" t="n">
        <x:v>42.7</x:v>
      </x:c>
      <x:c r="C165" s="14" t="str">
        <x:v>ĐB</x:v>
      </x:c>
      <x:c r="D165" s="18" t="n">
        <x:v>3075623227</x:v>
      </x:c>
      <x:c r="E165" s="18" t="n">
        <x:v>2887000000</x:v>
      </x:c>
      <x:c r="F165" s="18" t="n">
        <x:v>3194000000</x:v>
      </x:c>
      <x:c r="G165" s="18" t="n">
        <x:v>3398000000</x:v>
      </x:c>
      <x:c r="H165" s="14" t="str">
        <x:v>Còn hàng</x:v>
      </x:c>
      <x:c r="I165" s="14" t="str">
        <x:v>DA004</x:v>
      </x:c>
      <x:c r="J165" s="14" t="str">
        <x:v>LSP002</x:v>
      </x:c>
    </x:row>
    <x:row r="166" ht="20" customHeight="1">
      <x:c r="A166" s="14" t="str">
        <x:v>C5L2-23-02</x:v>
      </x:c>
      <x:c r="B166" s="14" t="n">
        <x:v>31</x:v>
      </x:c>
      <x:c r="C166" s="14" t="str">
        <x:v>TN</x:v>
      </x:c>
      <x:c r="D166" s="18" t="n">
        <x:v>2513896702</x:v>
      </x:c>
      <x:c r="E166" s="18" t="n">
        <x:v>2360000000</x:v>
      </x:c>
      <x:c r="F166" s="18" t="n">
        <x:v>2610000000</x:v>
      </x:c>
      <x:c r="G166" s="18" t="n">
        <x:v>2777000000</x:v>
      </x:c>
      <x:c r="H166" s="14" t="str">
        <x:v>Còn hàng</x:v>
      </x:c>
      <x:c r="I166" s="14" t="str">
        <x:v>DA004</x:v>
      </x:c>
      <x:c r="J166" s="14" t="str">
        <x:v>LSP001</x:v>
      </x:c>
    </x:row>
    <x:row r="167" ht="20" customHeight="1">
      <x:c r="A167" s="14" t="str">
        <x:v>C5L2-23-01</x:v>
      </x:c>
      <x:c r="B167" s="14" t="n">
        <x:v>47.8</x:v>
      </x:c>
      <x:c r="C167" s="14" t="str">
        <x:v>TN</x:v>
      </x:c>
      <x:c r="D167" s="18" t="n">
        <x:v>3642080848</x:v>
      </x:c>
      <x:c r="E167" s="18" t="n">
        <x:v>3419000000</x:v>
      </x:c>
      <x:c r="F167" s="18" t="n">
        <x:v>3781000000</x:v>
      </x:c>
      <x:c r="G167" s="18" t="n">
        <x:v>4023000000</x:v>
      </x:c>
      <x:c r="H167" s="14" t="str">
        <x:v>Còn hàng</x:v>
      </x:c>
      <x:c r="I167" s="14" t="str">
        <x:v>DA004</x:v>
      </x:c>
      <x:c r="J167" s="14" t="str">
        <x:v>LSP003</x:v>
      </x:c>
    </x:row>
    <x:row r="168" ht="20" customHeight="1">
      <x:c r="A168" s="14" t="str">
        <x:v>C5L2-23-10</x:v>
      </x:c>
      <x:c r="B168" s="14" t="n">
        <x:v>47.5</x:v>
      </x:c>
      <x:c r="C168" s="14" t="str">
        <x:v>ĐB</x:v>
      </x:c>
      <x:c r="D168" s="18" t="n">
        <x:v>3404977603</x:v>
      </x:c>
      <x:c r="E168" s="18" t="n">
        <x:v>3196000000</x:v>
      </x:c>
      <x:c r="F168" s="18" t="n">
        <x:v>3555000000</x:v>
      </x:c>
      <x:c r="G168" s="18" t="n">
        <x:v>3761000000</x:v>
      </x:c>
      <x:c r="H168" s="14" t="str">
        <x:v>Còn hàng</x:v>
      </x:c>
      <x:c r="I168" s="14" t="str">
        <x:v>DA004</x:v>
      </x:c>
      <x:c r="J168" s="14" t="str">
        <x:v>LSP003</x:v>
      </x:c>
    </x:row>
    <x:row r="169" ht="20" customHeight="1">
      <x:c r="A169" s="14" t="str">
        <x:v>C5L2-23-15A</x:v>
      </x:c>
      <x:c r="B169" s="14" t="n">
        <x:v>46.3</x:v>
      </x:c>
      <x:c r="C169" s="14" t="str">
        <x:v>ĐN</x:v>
      </x:c>
      <x:c r="D169" s="18" t="n">
        <x:v>3304321825</x:v>
      </x:c>
      <x:c r="E169" s="18" t="n">
        <x:v>3101000000</x:v>
      </x:c>
      <x:c r="F169" s="18" t="n">
        <x:v>3430000000</x:v>
      </x:c>
      <x:c r="G169" s="18" t="n">
        <x:v>3649000000</x:v>
      </x:c>
      <x:c r="H169" s="14" t="str">
        <x:v>Còn hàng</x:v>
      </x:c>
      <x:c r="I169" s="14" t="str">
        <x:v>DA004</x:v>
      </x:c>
      <x:c r="J169" s="14" t="str">
        <x:v>LSP003</x:v>
      </x:c>
    </x:row>
    <x:row r="170" ht="20" customHeight="1">
      <x:c r="A170" s="14" t="str">
        <x:v>C5L2-23-03</x:v>
      </x:c>
      <x:c r="B170" s="14" t="n">
        <x:v>47.8</x:v>
      </x:c>
      <x:c r="C170" s="14" t="str">
        <x:v>TN</x:v>
      </x:c>
      <x:c r="D170" s="18" t="n">
        <x:v>3791593082</x:v>
      </x:c>
      <x:c r="E170" s="18" t="n">
        <x:v>3560000000</x:v>
      </x:c>
      <x:c r="F170" s="18" t="n">
        <x:v>3937000000</x:v>
      </x:c>
      <x:c r="G170" s="18" t="n">
        <x:v>4189000000</x:v>
      </x:c>
      <x:c r="H170" s="14" t="str">
        <x:v>Còn hàng</x:v>
      </x:c>
      <x:c r="I170" s="14" t="str">
        <x:v>DA004</x:v>
      </x:c>
      <x:c r="J170" s="14" t="str">
        <x:v>LSP003</x:v>
      </x:c>
    </x:row>
    <x:row r="171" ht="20" customHeight="1">
      <x:c r="A171" s="14" t="str">
        <x:v>C5Z1-05-15</x:v>
      </x:c>
      <x:c r="B171" s="14" t="n">
        <x:v>65.2</x:v>
      </x:c>
      <x:c r="C171" s="14" t="str">
        <x:v>TB - TN</x:v>
      </x:c>
      <x:c r="D171" s="18" t="n">
        <x:v>4552915413</x:v>
      </x:c>
      <x:c r="E171" s="18" t="n">
        <x:v>4273000000</x:v>
      </x:c>
      <x:c r="F171" s="18" t="n">
        <x:v>4726000000</x:v>
      </x:c>
      <x:c r="G171" s="18" t="n">
        <x:v>5028000000</x:v>
      </x:c>
      <x:c r="H171" s="14" t="str">
        <x:v>Còn hàng</x:v>
      </x:c>
      <x:c r="I171" s="14" t="str">
        <x:v>DA004</x:v>
      </x:c>
      <x:c r="J171" s="14" t="str">
        <x:v>LSP001</x:v>
      </x:c>
    </x:row>
    <x:row r="172" ht="20" customHeight="1">
      <x:c r="A172" s="14" t="str">
        <x:v>C5L2-23-12A</x:v>
      </x:c>
      <x:c r="B172" s="14" t="n">
        <x:v>46.3</x:v>
      </x:c>
      <x:c r="C172" s="14" t="str">
        <x:v>ĐN</x:v>
      </x:c>
      <x:c r="D172" s="18" t="n">
        <x:v>3304321825</x:v>
      </x:c>
      <x:c r="E172" s="18" t="n">
        <x:v>3102000000</x:v>
      </x:c>
      <x:c r="F172" s="18" t="n">
        <x:v>3431000000</x:v>
      </x:c>
      <x:c r="G172" s="18" t="n">
        <x:v>3650000000</x:v>
      </x:c>
      <x:c r="H172" s="14" t="str">
        <x:v>Còn hàng</x:v>
      </x:c>
      <x:c r="I172" s="14" t="str">
        <x:v>DA004</x:v>
      </x:c>
      <x:c r="J172" s="14" t="str">
        <x:v>LSP003</x:v>
      </x:c>
    </x:row>
    <x:row r="173" ht="20" customHeight="1">
      <x:c r="A173" s="14" t="str">
        <x:v>C5L2-10-09</x:v>
      </x:c>
      <x:c r="B173" s="14" t="n">
        <x:v>65.7</x:v>
      </x:c>
      <x:c r="C173" s="14" t="str">
        <x:v>ĐB</x:v>
      </x:c>
      <x:c r="D173" s="18" t="n">
        <x:v>4484532182</x:v>
      </x:c>
      <x:c r="E173" s="18" t="n">
        <x:v>4234000000</x:v>
      </x:c>
      <x:c r="F173" s="18" t="n">
        <x:v>4680000000</x:v>
      </x:c>
      <x:c r="G173" s="18" t="n">
        <x:v>5003000000</x:v>
      </x:c>
      <x:c r="H173" s="14" t="str">
        <x:v>Còn hàng</x:v>
      </x:c>
      <x:c r="I173" s="14" t="str">
        <x:v>DA004</x:v>
      </x:c>
      <x:c r="J173" s="14" t="str">
        <x:v>LSP005</x:v>
      </x:c>
    </x:row>
    <x:row r="174" ht="20" customHeight="1">
      <x:c r="A174" s="14" t="str">
        <x:v>C5L2-12-12</x:v>
      </x:c>
      <x:c r="B174" s="14" t="n">
        <x:v>65.7</x:v>
      </x:c>
      <x:c r="C174" s="14" t="str">
        <x:v>ĐB</x:v>
      </x:c>
      <x:c r="D174" s="18" t="n">
        <x:v>4525755695</x:v>
      </x:c>
      <x:c r="E174" s="18" t="n">
        <x:v>4273000000</x:v>
      </x:c>
      <x:c r="F174" s="18" t="n">
        <x:v>4723000000</x:v>
      </x:c>
      <x:c r="G174" s="18" t="n">
        <x:v>5049000000</x:v>
      </x:c>
      <x:c r="H174" s="14" t="str">
        <x:v>Còn hàng</x:v>
      </x:c>
      <x:c r="I174" s="14" t="str">
        <x:v>DA004</x:v>
      </x:c>
      <x:c r="J174" s="14" t="str">
        <x:v>LSP005</x:v>
      </x:c>
    </x:row>
    <x:row r="175" ht="20" customHeight="1">
      <x:c r="A175" s="14" t="str">
        <x:v>C5L2-23-05</x:v>
      </x:c>
      <x:c r="B175" s="14" t="n">
        <x:v>30.7</x:v>
      </x:c>
      <x:c r="C175" s="14" t="str">
        <x:v>TN</x:v>
      </x:c>
      <x:c r="D175" s="18" t="n">
        <x:v>2500609986</x:v>
      </x:c>
      <x:c r="E175" s="18" t="n">
        <x:v>2348000000</x:v>
      </x:c>
      <x:c r="F175" s="18" t="n">
        <x:v>2597000000</x:v>
      </x:c>
      <x:c r="G175" s="18" t="n">
        <x:v>2762000000</x:v>
      </x:c>
      <x:c r="H175" s="14" t="str">
        <x:v>Còn hàng</x:v>
      </x:c>
      <x:c r="I175" s="14" t="str">
        <x:v>DA004</x:v>
      </x:c>
      <x:c r="J175" s="14" t="str">
        <x:v>LSP001</x:v>
      </x:c>
    </x:row>
    <x:row r="176" ht="20" customHeight="1">
      <x:c r="A176" s="14" t="str">
        <x:v>C5L2-23-08</x:v>
      </x:c>
      <x:c r="B176" s="14" t="n">
        <x:v>65.7</x:v>
      </x:c>
      <x:c r="C176" s="14" t="str">
        <x:v>ĐB</x:v>
      </x:c>
      <x:c r="D176" s="18" t="n">
        <x:v>4589852786</x:v>
      </x:c>
      <x:c r="E176" s="18" t="n">
        <x:v>4308000000</x:v>
      </x:c>
      <x:c r="F176" s="18" t="n">
        <x:v>4765000000</x:v>
      </x:c>
      <x:c r="G176" s="18" t="n">
        <x:v>5067000000</x:v>
      </x:c>
      <x:c r="H176" s="14" t="str">
        <x:v>Còn hàng</x:v>
      </x:c>
      <x:c r="I176" s="14" t="str">
        <x:v>DA004</x:v>
      </x:c>
      <x:c r="J176" s="14" t="str">
        <x:v>LSP005</x:v>
      </x:c>
    </x:row>
    <x:row r="177" ht="20" customHeight="1">
      <x:c r="A177" s="14" t="str">
        <x:v>C5L2-23-16</x:v>
      </x:c>
      <x:c r="B177" s="14" t="n">
        <x:v>70.7</x:v>
      </x:c>
      <x:c r="C177" s="14" t="str">
        <x:v>ĐN - TN</x:v>
      </x:c>
      <x:c r="D177" s="18" t="n">
        <x:v>5090077113</x:v>
      </x:c>
      <x:c r="E177" s="18" t="n">
        <x:v>4779000000</x:v>
      </x:c>
      <x:c r="F177" s="18" t="n">
        <x:v>5285000000</x:v>
      </x:c>
      <x:c r="G177" s="18" t="n">
        <x:v>5623000000</x:v>
      </x:c>
      <x:c r="H177" s="14" t="str">
        <x:v>Còn hàng</x:v>
      </x:c>
      <x:c r="I177" s="14" t="str">
        <x:v>DA004</x:v>
      </x:c>
      <x:c r="J177" s="14" t="str">
        <x:v>LSP005</x:v>
      </x:c>
    </x:row>
    <x:row r="178" ht="20" customHeight="1">
      <x:c r="A178" s="14" t="str">
        <x:v>C5L2-23-05A</x:v>
      </x:c>
      <x:c r="B178" s="14" t="n">
        <x:v>72.9</x:v>
      </x:c>
      <x:c r="C178" s="14" t="str">
        <x:v>TN</x:v>
      </x:c>
      <x:c r="D178" s="18" t="n">
        <x:v>5575241680</x:v>
      </x:c>
      <x:c r="E178" s="18" t="n">
        <x:v>5234000000</x:v>
      </x:c>
      <x:c r="F178" s="18" t="n">
        <x:v>5788000000</x:v>
      </x:c>
      <x:c r="G178" s="18" t="n">
        <x:v>6158000000</x:v>
      </x:c>
      <x:c r="H178" s="14" t="str">
        <x:v>Còn hàng</x:v>
      </x:c>
      <x:c r="I178" s="14" t="str">
        <x:v>DA004</x:v>
      </x:c>
      <x:c r="J178" s="14" t="str">
        <x:v>LSP006</x:v>
      </x:c>
    </x:row>
    <x:row r="179" ht="20" customHeight="1">
      <x:c r="A179" s="14" t="str">
        <x:v>C5L2-23-15</x:v>
      </x:c>
      <x:c r="B179" s="14" t="n">
        <x:v>31.6</x:v>
      </x:c>
      <x:c r="C179" s="14" t="str">
        <x:v>ĐN</x:v>
      </x:c>
      <x:c r="D179" s="18" t="n">
        <x:v>2353145445</x:v>
      </x:c>
      <x:c r="E179" s="18" t="n">
        <x:v>2209000000</x:v>
      </x:c>
      <x:c r="F179" s="18" t="n">
        <x:v>2443000000</x:v>
      </x:c>
      <x:c r="G179" s="18" t="n">
        <x:v>2599000000</x:v>
      </x:c>
      <x:c r="H179" s="14" t="str">
        <x:v>Còn hàng</x:v>
      </x:c>
      <x:c r="I179" s="14" t="str">
        <x:v>DA004</x:v>
      </x:c>
      <x:c r="J179" s="14" t="str">
        <x:v>LSP001</x:v>
      </x:c>
    </x:row>
    <x:row r="180" ht="20" customHeight="1">
      <x:c r="A180" s="14" t="str">
        <x:v>C5Z1-05-12A</x:v>
      </x:c>
      <x:c r="B180" s="14" t="n">
        <x:v>50.4</x:v>
      </x:c>
      <x:c r="C180" s="14" t="str">
        <x:v>ĐN</x:v>
      </x:c>
      <x:c r="D180" s="18" t="n">
        <x:v>3539002774</x:v>
      </x:c>
      <x:c r="E180" s="18" t="n">
        <x:v>3322000000</x:v>
      </x:c>
      <x:c r="F180" s="18" t="n">
        <x:v>3674000000</x:v>
      </x:c>
      <x:c r="G180" s="18" t="n">
        <x:v>3909000000</x:v>
      </x:c>
      <x:c r="H180" s="14" t="str">
        <x:v>Đã bán</x:v>
      </x:c>
      <x:c r="I180" s="14" t="str">
        <x:v>DA004</x:v>
      </x:c>
      <x:c r="J180" s="14" t="str">
        <x:v>LSP003</x:v>
      </x:c>
    </x:row>
    <x:row r="181" ht="20" customHeight="1">
      <x:c r="A181" s="14" t="str">
        <x:v>C5Z1-05-18</x:v>
      </x:c>
      <x:c r="B181" s="14" t="n">
        <x:v>49</x:v>
      </x:c>
      <x:c r="C181" s="14" t="str">
        <x:v>TB</x:v>
      </x:c>
      <x:c r="D181" s="18" t="n">
        <x:v>3177128885</x:v>
      </x:c>
      <x:c r="E181" s="18" t="n">
        <x:v>2982000000</x:v>
      </x:c>
      <x:c r="F181" s="18" t="n">
        <x:v>3298000000</x:v>
      </x:c>
      <x:c r="G181" s="18" t="n">
        <x:v>3509000000</x:v>
      </x:c>
      <x:c r="H181" s="14" t="str">
        <x:v>Đã bán</x:v>
      </x:c>
      <x:c r="I181" s="14" t="str">
        <x:v>DA004</x:v>
      </x:c>
      <x:c r="J181" s="14" t="str">
        <x:v>LSP003</x:v>
      </x:c>
    </x:row>
    <x:row r="182" ht="20" customHeight="1">
      <x:c r="A182" s="14" t="str">
        <x:v>C5Z1-05-06</x:v>
      </x:c>
      <x:c r="B182" s="14" t="n">
        <x:v>70</x:v>
      </x:c>
      <x:c r="C182" s="14" t="str">
        <x:v>TB - ĐN</x:v>
      </x:c>
      <x:c r="D182" s="18" t="n">
        <x:v>4608130450</x:v>
      </x:c>
      <x:c r="E182" s="18" t="n">
        <x:v>4325000000</x:v>
      </x:c>
      <x:c r="F182" s="18" t="n">
        <x:v>4784000000</x:v>
      </x:c>
      <x:c r="G182" s="18" t="n">
        <x:v>5089000000</x:v>
      </x:c>
      <x:c r="H182" s="14" t="str">
        <x:v>Còn hàng</x:v>
      </x:c>
      <x:c r="I182" s="14" t="str">
        <x:v>DA004</x:v>
      </x:c>
      <x:c r="J182" s="14" t="str">
        <x:v>LSP006</x:v>
      </x:c>
    </x:row>
    <x:row r="183" ht="20" customHeight="1">
      <x:c r="A183" s="14" t="str">
        <x:v>C5Z1-05-11</x:v>
      </x:c>
      <x:c r="B183" s="14" t="n">
        <x:v>92.8</x:v>
      </x:c>
      <x:c r="C183" s="14" t="str">
        <x:v>ĐN</x:v>
      </x:c>
      <x:c r="D183" s="18" t="n">
        <x:v>6332140720</x:v>
      </x:c>
      <x:c r="E183" s="18" t="n">
        <x:v>5944000000</x:v>
      </x:c>
      <x:c r="F183" s="18" t="n">
        <x:v>6574000000</x:v>
      </x:c>
      <x:c r="G183" s="18" t="n">
        <x:v>6994000000</x:v>
      </x:c>
      <x:c r="H183" s="14" t="str">
        <x:v>Còn hàng</x:v>
      </x:c>
      <x:c r="I183" s="14" t="str">
        <x:v>DA004</x:v>
      </x:c>
      <x:c r="J183" s="14" t="str">
        <x:v>LSP008</x:v>
      </x:c>
    </x:row>
    <x:row r="184" ht="20" customHeight="1">
      <x:c r="A184" s="14" t="str">
        <x:v>C5Z1-05-08</x:v>
      </x:c>
      <x:c r="B184" s="14" t="n">
        <x:v>50.1</x:v>
      </x:c>
      <x:c r="C184" s="14" t="str">
        <x:v>ĐN</x:v>
      </x:c>
      <x:c r="D184" s="18" t="n">
        <x:v>3443150155</x:v>
      </x:c>
      <x:c r="E184" s="18" t="n">
        <x:v>3232000000</x:v>
      </x:c>
      <x:c r="F184" s="18" t="n">
        <x:v>3574000000</x:v>
      </x:c>
      <x:c r="G184" s="18" t="n">
        <x:v>3803000000</x:v>
      </x:c>
      <x:c r="H184" s="14" t="str">
        <x:v>Còn hàng</x:v>
      </x:c>
      <x:c r="I184" s="14" t="str">
        <x:v>DA004</x:v>
      </x:c>
      <x:c r="J184" s="14" t="str">
        <x:v>LSP003</x:v>
      </x:c>
    </x:row>
    <x:row r="185" ht="20" customHeight="1">
      <x:c r="A185" s="14" t="str">
        <x:v>C5Z1-11-06</x:v>
      </x:c>
      <x:c r="B185" s="14" t="n">
        <x:v>70</x:v>
      </x:c>
      <x:c r="C185" s="14" t="str">
        <x:v>TB</x:v>
      </x:c>
      <x:c r="D185" s="18" t="n">
        <x:v>4840895010</x:v>
      </x:c>
      <x:c r="E185" s="18" t="n">
        <x:v>4544000000</x:v>
      </x:c>
      <x:c r="F185" s="18" t="n">
        <x:v>5025000000</x:v>
      </x:c>
      <x:c r="G185" s="18" t="n">
        <x:v>5346000000</x:v>
      </x:c>
      <x:c r="H185" s="14" t="str">
        <x:v>Còn hàng</x:v>
      </x:c>
      <x:c r="I185" s="14" t="str">
        <x:v>DA004</x:v>
      </x:c>
      <x:c r="J185" s="14" t="str">
        <x:v>LSP006</x:v>
      </x:c>
    </x:row>
    <x:row r="186" ht="20" customHeight="1">
      <x:c r="A186" s="14" t="str">
        <x:v>C5Z3-08-05A</x:v>
      </x:c>
      <x:c r="B186" s="14" t="n">
        <x:v>65.2</x:v>
      </x:c>
      <x:c r="C186" s="14" t="str">
        <x:v>ĐN - TN</x:v>
      </x:c>
      <x:c r="D186" s="18" t="n">
        <x:v>4899683243</x:v>
      </x:c>
      <x:c r="E186" s="18" t="n">
        <x:v>4599000000</x:v>
      </x:c>
      <x:c r="F186" s="18" t="n">
        <x:v>5087000000</x:v>
      </x:c>
      <x:c r="G186" s="18" t="n">
        <x:v>5412000000</x:v>
      </x:c>
      <x:c r="H186" s="14" t="str">
        <x:v>Đã bán</x:v>
      </x:c>
      <x:c r="I186" s="14" t="str">
        <x:v>DA004</x:v>
      </x:c>
      <x:c r="J186" s="14" t="str">
        <x:v>LSP006</x:v>
      </x:c>
    </x:row>
    <x:row r="187" ht="20" customHeight="1">
      <x:c r="A187" s="14" t="str">
        <x:v>C5Z3-08-15A</x:v>
      </x:c>
      <x:c r="B187" s="14" t="n">
        <x:v>32.7</x:v>
      </x:c>
      <x:c r="C187" s="14" t="str">
        <x:v>-</x:v>
      </x:c>
      <x:c r="D187" s="18" t="n">
        <x:v>2110171518</x:v>
      </x:c>
      <x:c r="E187" s="18" t="n">
        <x:v>1980000000</x:v>
      </x:c>
      <x:c r="F187" s="18" t="n">
        <x:v>2190000000</x:v>
      </x:c>
      <x:c r="G187" s="18" t="n">
        <x:v>2330000000</x:v>
      </x:c>
      <x:c r="H187" s="14" t="str">
        <x:v>Đã bán</x:v>
      </x:c>
      <x:c r="I187" s="14" t="str">
        <x:v>DA004</x:v>
      </x:c>
      <x:c r="J187" s="14" t="str">
        <x:v>LSP001</x:v>
      </x:c>
    </x:row>
    <x:row r="188" ht="20" customHeight="1">
      <x:c r="A188" s="14" t="str">
        <x:v>C5Z3-08-01</x:v>
      </x:c>
      <x:c r="B188" s="14" t="n">
        <x:v>49</x:v>
      </x:c>
      <x:c r="C188" s="14" t="str">
        <x:v>ĐN</x:v>
      </x:c>
      <x:c r="D188" s="18" t="n">
        <x:v>3452737176</x:v>
      </x:c>
      <x:c r="E188" s="18" t="n">
        <x:v>3241000000</x:v>
      </x:c>
      <x:c r="F188" s="18" t="n">
        <x:v>3584000000</x:v>
      </x:c>
      <x:c r="G188" s="18" t="n">
        <x:v>3813000000</x:v>
      </x:c>
      <x:c r="H188" s="14" t="str">
        <x:v>Còn hàng</x:v>
      </x:c>
      <x:c r="I188" s="14" t="str">
        <x:v>DA004</x:v>
      </x:c>
      <x:c r="J188" s="14" t="str">
        <x:v>LSP003</x:v>
      </x:c>
    </x:row>
    <x:row r="189" ht="20" customHeight="1">
      <x:c r="A189" s="14" t="str">
        <x:v>C5Z3-08-06</x:v>
      </x:c>
      <x:c r="B189" s="14" t="n">
        <x:v>50.4</x:v>
      </x:c>
      <x:c r="C189" s="14" t="str">
        <x:v>TB</x:v>
      </x:c>
      <x:c r="D189" s="18" t="n">
        <x:v>3634679059</x:v>
      </x:c>
      <x:c r="E189" s="18" t="n">
        <x:v>3412000000</x:v>
      </x:c>
      <x:c r="F189" s="18" t="n">
        <x:v>3773000000</x:v>
      </x:c>
      <x:c r="G189" s="18" t="n">
        <x:v>4014000000</x:v>
      </x:c>
      <x:c r="H189" s="14" t="str">
        <x:v>Còn hàng</x:v>
      </x:c>
      <x:c r="I189" s="14" t="str">
        <x:v>DA004</x:v>
      </x:c>
      <x:c r="J189" s="14" t="str">
        <x:v>LSP003</x:v>
      </x:c>
    </x:row>
    <x:row r="190" ht="20" customHeight="1">
      <x:c r="A190" s="14" t="str">
        <x:v>C5Z3-08-08</x:v>
      </x:c>
      <x:c r="B190" s="14" t="n">
        <x:v>92.8</x:v>
      </x:c>
      <x:c r="C190" s="14" t="str">
        <x:v>TB - ĐB</x:v>
      </x:c>
      <x:c r="D190" s="18" t="n">
        <x:v>6489014944</x:v>
      </x:c>
      <x:c r="E190" s="18" t="n">
        <x:v>6091000000</x:v>
      </x:c>
      <x:c r="F190" s="18" t="n">
        <x:v>6737000000</x:v>
      </x:c>
      <x:c r="G190" s="18" t="n">
        <x:v>7240000000</x:v>
      </x:c>
      <x:c r="H190" s="14" t="str">
        <x:v>Còn hàng</x:v>
      </x:c>
      <x:c r="I190" s="14" t="str">
        <x:v>DA004</x:v>
      </x:c>
      <x:c r="J190" s="14" t="str">
        <x:v>LSP008</x:v>
      </x:c>
    </x:row>
    <x:row r="191" ht="20" customHeight="1">
      <x:c r="A191" s="14" t="str">
        <x:v>C5Z3-08-03</x:v>
      </x:c>
      <x:c r="B191" s="14" t="n">
        <x:v>28.7</x:v>
      </x:c>
      <x:c r="C191" s="14" t="str">
        <x:v>Đông Nam</x:v>
      </x:c>
      <x:c r="D191" s="18" t="n">
        <x:v>2148865403</x:v>
      </x:c>
      <x:c r="E191" s="18" t="n">
        <x:v>2017000000</x:v>
      </x:c>
      <x:c r="F191" s="18" t="n">
        <x:v>2231000000</x:v>
      </x:c>
      <x:c r="G191" s="18" t="n">
        <x:v>2373000000</x:v>
      </x:c>
      <x:c r="H191" s="14" t="str">
        <x:v>Đã bán</x:v>
      </x:c>
      <x:c r="I191" s="14" t="str">
        <x:v>DA004</x:v>
      </x:c>
      <x:c r="J191" s="14" t="str">
        <x:v>LSP001</x:v>
      </x:c>
    </x:row>
    <x:row r="192" ht="20" customHeight="1">
      <x:c r="A192" s="14" t="str">
        <x:v>C5Z3-08-11</x:v>
      </x:c>
      <x:c r="B192" s="14" t="n">
        <x:v>50.1</x:v>
      </x:c>
      <x:c r="C192" s="14" t="str">
        <x:v>TB</x:v>
      </x:c>
      <x:c r="D192" s="18" t="n">
        <x:v>3522200090</x:v>
      </x:c>
      <x:c r="E192" s="18" t="n">
        <x:v>3306000000</x:v>
      </x:c>
      <x:c r="F192" s="18" t="n">
        <x:v>3656000000</x:v>
      </x:c>
      <x:c r="G192" s="18" t="n">
        <x:v>3890000000</x:v>
      </x:c>
      <x:c r="H192" s="14" t="str">
        <x:v>Còn hàng</x:v>
      </x:c>
      <x:c r="I192" s="14" t="str">
        <x:v>DA004</x:v>
      </x:c>
      <x:c r="J192" s="14" t="str">
        <x:v>LSP003</x:v>
      </x:c>
    </x:row>
    <x:row r="193" ht="20" customHeight="1">
      <x:c r="A193" s="14" t="str">
        <x:v>C5Z3-08-12A</x:v>
      </x:c>
      <x:c r="B193" s="14" t="n">
        <x:v>70</x:v>
      </x:c>
      <x:c r="C193" s="14" t="str">
        <x:v>ĐB - ĐN</x:v>
      </x:c>
      <x:c r="D193" s="18" t="n">
        <x:v>4923958270</x:v>
      </x:c>
      <x:c r="E193" s="18" t="n">
        <x:v>4622000000</x:v>
      </x:c>
      <x:c r="F193" s="18" t="n">
        <x:v>5112000000</x:v>
      </x:c>
      <x:c r="G193" s="18" t="n">
        <x:v>5438000000</x:v>
      </x:c>
      <x:c r="H193" s="14" t="str">
        <x:v>Đã bán</x:v>
      </x:c>
      <x:c r="I193" s="14" t="str">
        <x:v>DA004</x:v>
      </x:c>
      <x:c r="J193" s="14" t="str">
        <x:v>LSP006</x:v>
      </x:c>
    </x:row>
    <x:row r="194" ht="20" customHeight="1">
      <x:c r="A194" s="14" t="str">
        <x:v>C5Z3-08-15</x:v>
      </x:c>
      <x:c r="B194" s="14" t="n">
        <x:v>47.1</x:v>
      </x:c>
      <x:c r="C194" s="14" t="str">
        <x:v>ĐN</x:v>
      </x:c>
      <x:c r="D194" s="18" t="n">
        <x:v>3400465041</x:v>
      </x:c>
      <x:c r="E194" s="18" t="n">
        <x:v>3192000000</x:v>
      </x:c>
      <x:c r="F194" s="18" t="n">
        <x:v>3530000000</x:v>
      </x:c>
      <x:c r="G194" s="18" t="n">
        <x:v>3756000000</x:v>
      </x:c>
      <x:c r="H194" s="14" t="str">
        <x:v>Còn hàng</x:v>
      </x:c>
      <x:c r="I194" s="14" t="str">
        <x:v>DA004</x:v>
      </x:c>
      <x:c r="J194" s="14" t="str">
        <x:v>LSP003</x:v>
      </x:c>
    </x:row>
    <x:row r="195" ht="20" customHeight="1">
      <x:c r="A195" s="14" t="str">
        <x:v>C5L3-10-12A</x:v>
      </x:c>
      <x:c r="B195" s="14" t="n">
        <x:v>42.7</x:v>
      </x:c>
      <x:c r="C195" s="14" t="str">
        <x:v>ĐB</x:v>
      </x:c>
      <x:c r="D195" s="18" t="n">
        <x:v>3024615131</x:v>
      </x:c>
      <x:c r="E195" s="18" t="n">
        <x:v>2840000000</x:v>
      </x:c>
      <x:c r="F195" s="18" t="n">
        <x:v>3241000000</x:v>
      </x:c>
      <x:c r="G195" s="18" t="n">
        <x:v>3341000000</x:v>
      </x:c>
      <x:c r="H195" s="14" t="str">
        <x:v>Còn hàng</x:v>
      </x:c>
      <x:c r="I195" s="14" t="str">
        <x:v>DA004</x:v>
      </x:c>
      <x:c r="J195" s="14" t="str">
        <x:v>LSP002</x:v>
      </x:c>
    </x:row>
    <x:row r="196" ht="20" customHeight="1">
      <x:c r="A196" s="14" t="str">
        <x:v>C5L3-15-12A</x:v>
      </x:c>
      <x:c r="B196" s="14" t="n">
        <x:v>42.7</x:v>
      </x:c>
      <x:c r="C196" s="14" t="str">
        <x:v>ĐB</x:v>
      </x:c>
      <x:c r="D196" s="18" t="n">
        <x:v>3098983586</x:v>
      </x:c>
      <x:c r="E196" s="18" t="n">
        <x:v>2909000000</x:v>
      </x:c>
      <x:c r="F196" s="18" t="n">
        <x:v>3217000000</x:v>
      </x:c>
      <x:c r="G196" s="18" t="n">
        <x:v>3457000000</x:v>
      </x:c>
      <x:c r="H196" s="14" t="str">
        <x:v>Còn hàng</x:v>
      </x:c>
      <x:c r="I196" s="14" t="str">
        <x:v>DA004</x:v>
      </x:c>
      <x:c r="J196" s="14" t="str">
        <x:v>LSP002</x:v>
      </x:c>
    </x:row>
    <x:row r="197" ht="20" customHeight="1">
      <x:c r="A197" s="14" t="str">
        <x:v>C5L3-10-06</x:v>
      </x:c>
      <x:c r="B197" s="14" t="n">
        <x:v>46.3</x:v>
      </x:c>
      <x:c r="C197" s="14" t="str">
        <x:v>TB</x:v>
      </x:c>
      <x:c r="D197" s="18" t="n">
        <x:v>3145740898</x:v>
      </x:c>
      <x:c r="E197" s="18" t="n">
        <x:v>2953000000</x:v>
      </x:c>
      <x:c r="F197" s="18" t="n">
        <x:v>3265000000</x:v>
      </x:c>
      <x:c r="G197" s="18" t="n">
        <x:v>3475000000</x:v>
      </x:c>
      <x:c r="H197" s="14" t="str">
        <x:v>Còn hàng</x:v>
      </x:c>
      <x:c r="I197" s="14" t="str">
        <x:v>DA004</x:v>
      </x:c>
      <x:c r="J197" s="14" t="str">
        <x:v>LSP003</x:v>
      </x:c>
    </x:row>
    <x:row r="198" ht="20" customHeight="1">
      <x:c r="A198" s="14" t="str">
        <x:v>C5L3-10-10</x:v>
      </x:c>
      <x:c r="B198" s="14" t="n">
        <x:v>73.5</x:v>
      </x:c>
      <x:c r="C198" s="14" t="str">
        <x:v>ĐB</x:v>
      </x:c>
      <x:c r="D198" s="18" t="n">
        <x:v>4816566573</x:v>
      </x:c>
      <x:c r="E198" s="18" t="n">
        <x:v>4522000000</x:v>
      </x:c>
      <x:c r="F198" s="18" t="n">
        <x:v>5001000000</x:v>
      </x:c>
      <x:c r="G198" s="18" t="n">
        <x:v>5373000000</x:v>
      </x:c>
      <x:c r="H198" s="14" t="str">
        <x:v>Còn hàng</x:v>
      </x:c>
      <x:c r="I198" s="14" t="str">
        <x:v>DA004</x:v>
      </x:c>
      <x:c r="J198" s="14" t="str">
        <x:v>LSP006</x:v>
      </x:c>
    </x:row>
    <x:row r="199" ht="20" customHeight="1">
      <x:c r="A199" s="14" t="str">
        <x:v>C5L3-10-12</x:v>
      </x:c>
      <x:c r="B199" s="14" t="n">
        <x:v>47.5</x:v>
      </x:c>
      <x:c r="C199" s="14" t="str">
        <x:v>ĐB</x:v>
      </x:c>
      <x:c r="D199" s="18" t="n">
        <x:v>3364762915</x:v>
      </x:c>
      <x:c r="E199" s="18" t="n">
        <x:v>3158000000</x:v>
      </x:c>
      <x:c r="F199" s="18" t="n">
        <x:v>3493000000</x:v>
      </x:c>
      <x:c r="G199" s="18" t="n">
        <x:v>3717000000</x:v>
      </x:c>
      <x:c r="H199" s="14" t="str">
        <x:v>Còn hàng</x:v>
      </x:c>
      <x:c r="I199" s="14" t="str">
        <x:v>DA004</x:v>
      </x:c>
      <x:c r="J199" s="14" t="str">
        <x:v>LSP003</x:v>
      </x:c>
    </x:row>
    <x:row r="200" ht="20" customHeight="1">
      <x:c r="A200" s="14" t="str">
        <x:v>C5L3-10-22</x:v>
      </x:c>
      <x:c r="B200" s="14" t="n">
        <x:v>47.8</x:v>
      </x:c>
      <x:c r="C200" s="14" t="str">
        <x:v>TN</x:v>
      </x:c>
      <x:c r="D200" s="18" t="n">
        <x:v>3605432540</x:v>
      </x:c>
      <x:c r="E200" s="18" t="n">
        <x:v>3385000000</x:v>
      </x:c>
      <x:c r="F200" s="18" t="n">
        <x:v>3743000000</x:v>
      </x:c>
      <x:c r="G200" s="18" t="n">
        <x:v>3983000000</x:v>
      </x:c>
      <x:c r="H200" s="14" t="str">
        <x:v>Còn hàng</x:v>
      </x:c>
      <x:c r="I200" s="14" t="str">
        <x:v>DA004</x:v>
      </x:c>
      <x:c r="J200" s="14" t="str">
        <x:v>LSP003</x:v>
      </x:c>
    </x:row>
    <x:row r="201" ht="20" customHeight="1">
      <x:c r="A201" s="14" t="str">
        <x:v>C5L3-13-06</x:v>
      </x:c>
      <x:c r="B201" s="14" t="n">
        <x:v>46.3</x:v>
      </x:c>
      <x:c r="C201" s="14" t="str">
        <x:v>TB</x:v>
      </x:c>
      <x:c r="D201" s="18" t="n">
        <x:v>3116711076</x:v>
      </x:c>
      <x:c r="E201" s="18" t="n">
        <x:v>2925000000</x:v>
      </x:c>
      <x:c r="F201" s="18" t="n">
        <x:v>3236000000</x:v>
      </x:c>
      <x:c r="G201" s="18" t="n">
        <x:v>3477000000</x:v>
      </x:c>
      <x:c r="H201" s="14" t="str">
        <x:v>Còn hàng</x:v>
      </x:c>
      <x:c r="I201" s="14" t="str">
        <x:v>DA004</x:v>
      </x:c>
      <x:c r="J201" s="14" t="str">
        <x:v>LSP003</x:v>
      </x:c>
    </x:row>
    <x:row r="202" ht="20" customHeight="1">
      <x:c r="A202" s="14" t="str">
        <x:v>C5L3-10-16</x:v>
      </x:c>
      <x:c r="B202" s="14" t="n">
        <x:v>83.8</x:v>
      </x:c>
      <x:c r="C202" s="14" t="str">
        <x:v>ĐB - ĐN</x:v>
      </x:c>
      <x:c r="D202" s="18" t="n">
        <x:v>5876868106</x:v>
      </x:c>
      <x:c r="E202" s="18" t="n">
        <x:v>5517000000</x:v>
      </x:c>
      <x:c r="F202" s="18" t="n">
        <x:v>6102000000</x:v>
      </x:c>
      <x:c r="G202" s="18" t="n">
        <x:v>6557000000</x:v>
      </x:c>
      <x:c r="H202" s="14" t="str">
        <x:v>Còn hàng</x:v>
      </x:c>
      <x:c r="I202" s="14" t="str">
        <x:v>DA004</x:v>
      </x:c>
      <x:c r="J202" s="14" t="str">
        <x:v>LSP006</x:v>
      </x:c>
    </x:row>
    <x:row r="203" ht="20" customHeight="1">
      <x:c r="A203" s="14" t="str">
        <x:v>C5L3-10-18A</x:v>
      </x:c>
      <x:c r="B203" s="14" t="n">
        <x:v>106.4</x:v>
      </x:c>
      <x:c r="C203" s="14" t="str">
        <x:v>TN - ĐN</x:v>
      </x:c>
      <x:c r="D203" s="18" t="n">
        <x:v>8256067142</x:v>
      </x:c>
      <x:c r="E203" s="18" t="n">
        <x:v>7751000000</x:v>
      </x:c>
      <x:c r="F203" s="18" t="n">
        <x:v>8572000000</x:v>
      </x:c>
      <x:c r="G203" s="18" t="n">
        <x:v>9212000000</x:v>
      </x:c>
      <x:c r="H203" s="14" t="str">
        <x:v>Còn hàng</x:v>
      </x:c>
      <x:c r="I203" s="14" t="str">
        <x:v>DA004</x:v>
      </x:c>
      <x:c r="J203" s="14" t="str">
        <x:v>LSP008</x:v>
      </x:c>
    </x:row>
    <x:row r="204" ht="20" customHeight="1">
      <x:c r="A204" s="14" t="str">
        <x:v>C5L3-10-21</x:v>
      </x:c>
      <x:c r="B204" s="14" t="n">
        <x:v>31</x:v>
      </x:c>
      <x:c r="C204" s="14" t="str">
        <x:v>TN</x:v>
      </x:c>
      <x:c r="D204" s="18" t="n">
        <x:v>2501268821</x:v>
      </x:c>
      <x:c r="E204" s="18" t="n">
        <x:v>2348000000</x:v>
      </x:c>
      <x:c r="F204" s="18" t="n">
        <x:v>2597000000</x:v>
      </x:c>
      <x:c r="G204" s="18" t="n">
        <x:v>2763000000</x:v>
      </x:c>
      <x:c r="H204" s="14" t="str">
        <x:v>Đã bán</x:v>
      </x:c>
      <x:c r="I204" s="14" t="str">
        <x:v>DA004</x:v>
      </x:c>
      <x:c r="J204" s="14" t="str">
        <x:v>LSP001</x:v>
      </x:c>
    </x:row>
    <x:row r="205" ht="20" customHeight="1">
      <x:c r="A205" s="14" t="str">
        <x:v>C5L3-13-12</x:v>
      </x:c>
      <x:c r="B205" s="14" t="n">
        <x:v>47.5</x:v>
      </x:c>
      <x:c r="C205" s="14" t="str">
        <x:v>ĐB</x:v>
      </x:c>
      <x:c r="D205" s="18" t="n">
        <x:v>3318435073</x:v>
      </x:c>
      <x:c r="E205" s="18" t="n">
        <x:v>3115000000</x:v>
      </x:c>
      <x:c r="F205" s="18" t="n">
        <x:v>3445000000</x:v>
      </x:c>
      <x:c r="G205" s="18" t="n">
        <x:v>3702000000</x:v>
      </x:c>
      <x:c r="H205" s="14" t="str">
        <x:v>Còn hàng</x:v>
      </x:c>
      <x:c r="I205" s="14" t="str">
        <x:v>DA004</x:v>
      </x:c>
      <x:c r="J205" s="14" t="str">
        <x:v>LSP003</x:v>
      </x:c>
    </x:row>
    <x:row r="206" ht="20" customHeight="1">
      <x:c r="A206" s="14" t="str">
        <x:v>C5L3-15-08A</x:v>
      </x:c>
      <x:c r="B206" s="14" t="n">
        <x:v>46.3</x:v>
      </x:c>
      <x:c r="C206" s="14" t="str">
        <x:v>TB</x:v>
      </x:c>
      <x:c r="D206" s="18" t="n">
        <x:v>3226379247</x:v>
      </x:c>
      <x:c r="E206" s="18" t="n">
        <x:v>3028000000</x:v>
      </x:c>
      <x:c r="F206" s="18" t="n">
        <x:v>3349000000</x:v>
      </x:c>
      <x:c r="G206" s="18" t="n">
        <x:v>3599000000</x:v>
      </x:c>
      <x:c r="H206" s="14" t="str">
        <x:v>Còn hàng</x:v>
      </x:c>
      <x:c r="I206" s="14" t="str">
        <x:v>DA004</x:v>
      </x:c>
      <x:c r="J206" s="14" t="str">
        <x:v>LSP003</x:v>
      </x:c>
    </x:row>
    <x:row r="207" ht="20" customHeight="1">
      <x:c r="A207" s="14" t="str">
        <x:v>C5L3-17-08</x:v>
      </x:c>
      <x:c r="B207" s="14" t="n">
        <x:v>47.6</x:v>
      </x:c>
      <x:c r="C207" s="14" t="str">
        <x:v>ĐB</x:v>
      </x:c>
      <x:c r="D207" s="18" t="n">
        <x:v>3378357592</x:v>
      </x:c>
      <x:c r="E207" s="18" t="n">
        <x:v>3172000000</x:v>
      </x:c>
      <x:c r="F207" s="18" t="n">
        <x:v>3508000000</x:v>
      </x:c>
      <x:c r="G207" s="18" t="n">
        <x:v>3732000000</x:v>
      </x:c>
      <x:c r="H207" s="14" t="str">
        <x:v>Còn hàng</x:v>
      </x:c>
      <x:c r="I207" s="14" t="str">
        <x:v>DA004</x:v>
      </x:c>
      <x:c r="J207" s="14" t="str">
        <x:v>LSP003</x:v>
      </x:c>
    </x:row>
    <x:row r="208" ht="20" customHeight="1">
      <x:c r="A208" s="14" t="str">
        <x:v>C5L3-17-08A</x:v>
      </x:c>
      <x:c r="B208" s="14" t="n">
        <x:v>46.3</x:v>
      </x:c>
      <x:c r="C208" s="14" t="str">
        <x:v>ĐB</x:v>
      </x:c>
      <x:c r="D208" s="18" t="n">
        <x:v>3248957998</x:v>
      </x:c>
      <x:c r="E208" s="18" t="n">
        <x:v>3050000000</x:v>
      </x:c>
      <x:c r="F208" s="18" t="n">
        <x:v>3373000000</x:v>
      </x:c>
      <x:c r="G208" s="18" t="n">
        <x:v>3589000000</x:v>
      </x:c>
      <x:c r="H208" s="14" t="str">
        <x:v>Còn hàng</x:v>
      </x:c>
      <x:c r="I208" s="14" t="str">
        <x:v>DA004</x:v>
      </x:c>
      <x:c r="J208" s="14" t="str">
        <x:v>LSP003</x:v>
      </x:c>
    </x:row>
    <x:row r="209" ht="20" customHeight="1">
      <x:c r="A209" s="14" t="str">
        <x:v>C5L3-10-15A</x:v>
      </x:c>
      <x:c r="B209" s="14" t="n">
        <x:v>65.7</x:v>
      </x:c>
      <x:c r="C209" s="14" t="str">
        <x:v>ĐB</x:v>
      </x:c>
      <x:c r="D209" s="18" t="n">
        <x:v>4533947539</x:v>
      </x:c>
      <x:c r="E209" s="18" t="n">
        <x:v>4257000000</x:v>
      </x:c>
      <x:c r="F209" s="18" t="n">
        <x:v>4708000000</x:v>
      </x:c>
      <x:c r="G209" s="18" t="n">
        <x:v>5008000000</x:v>
      </x:c>
      <x:c r="H209" s="14" t="str">
        <x:v>Còn hàng</x:v>
      </x:c>
      <x:c r="I209" s="14" t="str">
        <x:v>DA004</x:v>
      </x:c>
      <x:c r="J209" s="14" t="str">
        <x:v>LSP005</x:v>
      </x:c>
    </x:row>
    <x:row r="210" ht="20" customHeight="1">
      <x:c r="A210" s="14" t="str">
        <x:v>C5L3-10-02</x:v>
      </x:c>
      <x:c r="B210" s="14" t="n">
        <x:v>72.8</x:v>
      </x:c>
      <x:c r="C210" s="14" t="str">
        <x:v>TN</x:v>
      </x:c>
      <x:c r="D210" s="18" t="n">
        <x:v>5293870182</x:v>
      </x:c>
      <x:c r="E210" s="18" t="n">
        <x:v>4970000000</x:v>
      </x:c>
      <x:c r="F210" s="18" t="n">
        <x:v>5496000000</x:v>
      </x:c>
      <x:c r="G210" s="18" t="n">
        <x:v>5848000000</x:v>
      </x:c>
      <x:c r="H210" s="14" t="str">
        <x:v>Còn hàng</x:v>
      </x:c>
      <x:c r="I210" s="14" t="str">
        <x:v>DA004</x:v>
      </x:c>
      <x:c r="J210" s="14" t="str">
        <x:v>LSP006</x:v>
      </x:c>
    </x:row>
    <x:row r="211" ht="20" customHeight="1">
      <x:c r="A211" s="14" t="str">
        <x:v>C5L3-17-03</x:v>
      </x:c>
      <x:c r="B211" s="14" t="n">
        <x:v>130.4</x:v>
      </x:c>
      <x:c r="C211" s="14" t="str">
        <x:v>TN - TB</x:v>
      </x:c>
      <x:c r="D211" s="18" t="n">
        <x:v>9972815178</x:v>
      </x:c>
      <x:c r="E211" s="18" t="n">
        <x:v>9363000000</x:v>
      </x:c>
      <x:c r="F211" s="18" t="n">
        <x:v>10355000000</x:v>
      </x:c>
      <x:c r="G211" s="18" t="n">
        <x:v>11016000000</x:v>
      </x:c>
      <x:c r="H211" s="14" t="str">
        <x:v>Còn hàng</x:v>
      </x:c>
      <x:c r="I211" s="14" t="str">
        <x:v>DA004</x:v>
      </x:c>
      <x:c r="J211" s="14" t="str">
        <x:v>LSP010</x:v>
      </x:c>
    </x:row>
    <x:row r="212" ht="20" customHeight="1">
      <x:c r="A212" s="14" t="str">
        <x:v>C5L3-17-05A</x:v>
      </x:c>
      <x:c r="B212" s="14" t="n">
        <x:v>70.7</x:v>
      </x:c>
      <x:c r="C212" s="14" t="str">
        <x:v>ĐB - TB</x:v>
      </x:c>
      <x:c r="D212" s="18" t="n">
        <x:v>5079531996</x:v>
      </x:c>
      <x:c r="E212" s="18" t="n">
        <x:v>4768000000</x:v>
      </x:c>
      <x:c r="F212" s="18" t="n">
        <x:v>5274000000</x:v>
      </x:c>
      <x:c r="G212" s="18" t="n">
        <x:v>5667000000</x:v>
      </x:c>
      <x:c r="H212" s="14" t="str">
        <x:v>Còn hàng</x:v>
      </x:c>
      <x:c r="I212" s="14" t="str">
        <x:v>DA004</x:v>
      </x:c>
      <x:c r="J212" s="14" t="str">
        <x:v>LSP005</x:v>
      </x:c>
    </x:row>
    <x:row r="213" ht="20" customHeight="1">
      <x:c r="A213" s="14" t="str">
        <x:v>C5L3-10-05</x:v>
      </x:c>
      <x:c r="B213" s="14" t="n">
        <x:v>31.6</x:v>
      </x:c>
      <x:c r="C213" s="14" t="str">
        <x:v>TB</x:v>
      </x:c>
      <x:c r="D213" s="18" t="n">
        <x:v>2238533667</x:v>
      </x:c>
      <x:c r="E213" s="18" t="n">
        <x:v>2102000000</x:v>
      </x:c>
      <x:c r="F213" s="18" t="n">
        <x:v>2324000000</x:v>
      </x:c>
      <x:c r="G213" s="18" t="n">
        <x:v>2473000000</x:v>
      </x:c>
      <x:c r="H213" s="14" t="str">
        <x:v>Còn hàng</x:v>
      </x:c>
      <x:c r="I213" s="14" t="str">
        <x:v>DA004</x:v>
      </x:c>
      <x:c r="J213" s="14" t="str">
        <x:v>LSP001</x:v>
      </x:c>
    </x:row>
    <x:row r="214" ht="20" customHeight="1">
      <x:c r="A214" s="14" t="str">
        <x:v>C5L3-17-01</x:v>
      </x:c>
      <x:c r="B214" s="14" t="n">
        <x:v>32.6</x:v>
      </x:c>
      <x:c r="C214" s="14" t="str">
        <x:v>TN</x:v>
      </x:c>
      <x:c r="D214" s="18" t="n">
        <x:v>2557980483</x:v>
      </x:c>
      <x:c r="E214" s="18" t="n">
        <x:v>2402000000</x:v>
      </x:c>
      <x:c r="F214" s="18" t="n">
        <x:v>2657000000</x:v>
      </x:c>
      <x:c r="G214" s="18" t="n">
        <x:v>2826000000</x:v>
      </x:c>
      <x:c r="H214" s="14" t="str">
        <x:v>Còn hàng</x:v>
      </x:c>
      <x:c r="I214" s="14" t="str">
        <x:v>DA004</x:v>
      </x:c>
      <x:c r="J214" s="14" t="str">
        <x:v>LSP001</x:v>
      </x:c>
    </x:row>
    <x:row r="215" ht="20" customHeight="1">
      <x:c r="A215" s="14" t="str">
        <x:v>C5L3-17-09</x:v>
      </x:c>
      <x:c r="B215" s="14" t="n">
        <x:v>73.5</x:v>
      </x:c>
      <x:c r="C215" s="14" t="str">
        <x:v>ĐB</x:v>
      </x:c>
      <x:c r="D215" s="18" t="n">
        <x:v>4867771010</x:v>
      </x:c>
      <x:c r="E215" s="18" t="n">
        <x:v>4569000000</x:v>
      </x:c>
      <x:c r="F215" s="18" t="n">
        <x:v>5054000000</x:v>
      </x:c>
      <x:c r="G215" s="18" t="n">
        <x:v>5431000000</x:v>
      </x:c>
      <x:c r="H215" s="14" t="str">
        <x:v>Còn hàng</x:v>
      </x:c>
      <x:c r="I215" s="14" t="str">
        <x:v>DA004</x:v>
      </x:c>
      <x:c r="J215" s="14" t="str">
        <x:v>LSP006</x:v>
      </x:c>
    </x:row>
    <x:row r="216" ht="20" customHeight="1">
      <x:c r="A216" s="14" t="str">
        <x:v>C5L3-17-11</x:v>
      </x:c>
      <x:c r="B216" s="14" t="n">
        <x:v>65.7</x:v>
      </x:c>
      <x:c r="C216" s="14" t="str">
        <x:v>ĐB</x:v>
      </x:c>
      <x:c r="D216" s="18" t="n">
        <x:v>4657527991</x:v>
      </x:c>
      <x:c r="E216" s="18" t="n">
        <x:v>4373000000</x:v>
      </x:c>
      <x:c r="F216" s="18" t="n">
        <x:v>4836000000</x:v>
      </x:c>
      <x:c r="G216" s="18" t="n">
        <x:v>5197000000</x:v>
      </x:c>
      <x:c r="H216" s="14" t="str">
        <x:v>Còn hàng</x:v>
      </x:c>
      <x:c r="I216" s="14" t="str">
        <x:v>DA004</x:v>
      </x:c>
      <x:c r="J216" s="14" t="str">
        <x:v>LSP005</x:v>
      </x:c>
    </x:row>
    <x:row r="217" ht="20" customHeight="1">
      <x:c r="A217" s="14" t="str">
        <x:v>C5L3-17-15</x:v>
      </x:c>
      <x:c r="B217" s="14" t="n">
        <x:v>31.2</x:v>
      </x:c>
      <x:c r="C217" s="14" t="str">
        <x:v>ĐB</x:v>
      </x:c>
      <x:c r="D217" s="18" t="n">
        <x:v>2351966386</x:v>
      </x:c>
      <x:c r="E217" s="18" t="n">
        <x:v>2208000000</x:v>
      </x:c>
      <x:c r="F217" s="18" t="n">
        <x:v>2442000000</x:v>
      </x:c>
      <x:c r="G217" s="18" t="n">
        <x:v>2598000000</x:v>
      </x:c>
      <x:c r="H217" s="14" t="str">
        <x:v>Còn hàng</x:v>
      </x:c>
      <x:c r="I217" s="14" t="str">
        <x:v>DA004</x:v>
      </x:c>
      <x:c r="J217" s="14" t="str">
        <x:v>LSP001</x:v>
      </x:c>
    </x:row>
    <x:row r="218" ht="20" customHeight="1">
      <x:c r="A218" s="14" t="str">
        <x:v>C5L3-17-18</x:v>
      </x:c>
      <x:c r="B218" s="14" t="n">
        <x:v>30.7</x:v>
      </x:c>
      <x:c r="C218" s="14" t="str">
        <x:v>TN</x:v>
      </x:c>
      <x:c r="D218" s="18" t="n">
        <x:v>2577955597</x:v>
      </x:c>
      <x:c r="E218" s="18" t="n">
        <x:v>2420000000</x:v>
      </x:c>
      <x:c r="F218" s="18" t="n">
        <x:v>2677000000</x:v>
      </x:c>
      <x:c r="G218" s="18" t="n">
        <x:v>2848000000</x:v>
      </x:c>
      <x:c r="H218" s="14" t="str">
        <x:v>Còn hàng</x:v>
      </x:c>
      <x:c r="I218" s="14" t="str">
        <x:v>DA004</x:v>
      </x:c>
      <x:c r="J218" s="14" t="str">
        <x:v>LSP001</x:v>
      </x:c>
    </x:row>
    <x:row r="219" ht="20" customHeight="1">
      <x:c r="A219" s="14" t="str">
        <x:v>C5L3-17-19</x:v>
      </x:c>
      <x:c r="B219" s="14" t="n">
        <x:v>72.9</x:v>
      </x:c>
      <x:c r="C219" s="14" t="str">
        <x:v>TN</x:v>
      </x:c>
      <x:c r="D219" s="18" t="n">
        <x:v>5758106154</x:v>
      </x:c>
      <x:c r="E219" s="18" t="n">
        <x:v>5406000000</x:v>
      </x:c>
      <x:c r="F219" s="18" t="n">
        <x:v>5979000000</x:v>
      </x:c>
      <x:c r="G219" s="18" t="n">
        <x:v>6425000000</x:v>
      </x:c>
      <x:c r="H219" s="14" t="str">
        <x:v>Còn hàng</x:v>
      </x:c>
      <x:c r="I219" s="14" t="str">
        <x:v>DA004</x:v>
      </x:c>
      <x:c r="J219" s="14" t="str">
        <x:v>LSP006</x:v>
      </x:c>
    </x:row>
    <x:row r="220" ht="20" customHeight="1">
      <x:c r="A220" s="14" t="str">
        <x:v>C5L3-17-20</x:v>
      </x:c>
      <x:c r="B220" s="14" t="n">
        <x:v>47.8</x:v>
      </x:c>
      <x:c r="C220" s="14" t="str">
        <x:v>TN</x:v>
      </x:c>
      <x:c r="D220" s="18" t="n">
        <x:v>3911795646</x:v>
      </x:c>
      <x:c r="E220" s="18" t="n">
        <x:v>3673000000</x:v>
      </x:c>
      <x:c r="F220" s="18" t="n">
        <x:v>4061000000</x:v>
      </x:c>
      <x:c r="G220" s="18" t="n">
        <x:v>4322000000</x:v>
      </x:c>
      <x:c r="H220" s="14" t="str">
        <x:v>Còn hàng</x:v>
      </x:c>
      <x:c r="I220" s="14" t="str">
        <x:v>DA004</x:v>
      </x:c>
      <x:c r="J220" s="14" t="str">
        <x:v>LSP003</x:v>
      </x:c>
    </x:row>
  </x:sheetData>
  <x:conditionalFormatting sqref="H2:H220">
    <x:cfRule type="expression" dxfId="0" priority="1">
      <x:formula>H2="Còn hàng"</x:formula>
    </x:cfRule>
    <x:cfRule type="expression" dxfId="1" priority="2">
      <x:formula>H2="Đang lock"</x:formula>
    </x:cfRule>
    <x:cfRule type="expression" dxfId="2" priority="3">
      <x:formula>H2="Đã bán"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5bf071845f45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0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</x:cols>
  <x:sheetData>
    <x:row r="1" ht="24" customHeight="1">
      <x:c r="A1" s="10" t="str">
        <x:v>MaLuotBooking</x:v>
      </x:c>
      <x:c r="B1" s="10" t="str">
        <x:v>TGBooking</x:v>
      </x:c>
      <x:c r="C1" s="10" t="str">
        <x:v>STTBooking</x:v>
      </x:c>
      <x:c r="D1" s="10" t="str">
        <x:v>TGBatDauKhopCan</x:v>
      </x:c>
      <x:c r="E1" s="10" t="str">
        <x:v>TGKetThucKhopCan</x:v>
      </x:c>
      <x:c r="F1" s="10" t="str">
        <x:v>TrangThaiKhopCan</x:v>
      </x:c>
      <x:c r="G1" s="10" t="str">
        <x:v>MaDA</x:v>
      </x:c>
      <x:c r="H1" s="10" t="str">
        <x:v>MaNV</x:v>
      </x:c>
    </x:row>
    <x:row r="2" ht="20" customHeight="1">
      <x:c r="A2" s="14" t="str">
        <x:v>LHSG001</x:v>
      </x:c>
      <x:c r="B2" s="20" t="n">
        <x:v>46162.375</x:v>
      </x:c>
      <x:c r="C2" s="14" t="n">
        <x:v>1</x:v>
      </x:c>
      <x:c r="D2" s="20" t="n">
        <x:v>46176.458333333336</x:v>
      </x:c>
      <x:c r="E2" s="20" t="n">
        <x:v>46176.46527777778</x:v>
      </x:c>
      <x:c r="F2" s="14" t="str">
        <x:v>Đã khớp</x:v>
      </x:c>
      <x:c r="G2" s="14" t="str">
        <x:v>DA003</x:v>
      </x:c>
      <x:c r="H2" s="14" t="str">
        <x:v>NV001</x:v>
      </x:c>
    </x:row>
    <x:row r="3" ht="20" customHeight="1">
      <x:c r="A3" s="14" t="str">
        <x:v>LHSG002</x:v>
      </x:c>
      <x:c r="B3" s="20" t="n">
        <x:v>46162.399305555555</x:v>
      </x:c>
      <x:c r="C3" s="14" t="n">
        <x:v>2</x:v>
      </x:c>
      <x:c r="D3" s="20" t="n">
        <x:v>46176.48263888889</x:v>
      </x:c>
      <x:c r="E3" s="20" t="n">
        <x:v>46176.489583333336</x:v>
      </x:c>
      <x:c r="F3" s="14" t="str">
        <x:v>Chưa khớp</x:v>
      </x:c>
      <x:c r="G3" s="14" t="str">
        <x:v>DA003</x:v>
      </x:c>
      <x:c r="H3" s="14" t="str">
        <x:v>NV002</x:v>
      </x:c>
    </x:row>
    <x:row r="4" ht="20" customHeight="1">
      <x:c r="A4" s="14" t="str">
        <x:v>LHSG003</x:v>
      </x:c>
      <x:c r="B4" s="20" t="n">
        <x:v>46162.42361111111</x:v>
      </x:c>
      <x:c r="C4" s="14" t="n">
        <x:v>3</x:v>
      </x:c>
      <x:c r="D4" s="20" t="n">
        <x:v>46176.506944444445</x:v>
      </x:c>
      <x:c r="E4" s="20" t="n">
        <x:v>46176.51388888889</x:v>
      </x:c>
      <x:c r="F4" s="14" t="str">
        <x:v>Hết thời gian</x:v>
      </x:c>
      <x:c r="G4" s="14" t="str">
        <x:v>DA003</x:v>
      </x:c>
      <x:c r="H4" s="14" t="str">
        <x:v>NV003</x:v>
      </x:c>
    </x:row>
    <x:row r="5" ht="20" customHeight="1">
      <x:c r="A5" s="14" t="str">
        <x:v>LHSG004</x:v>
      </x:c>
      <x:c r="B5" s="20" t="n">
        <x:v>46163.375</x:v>
      </x:c>
      <x:c r="C5" s="14" t="n">
        <x:v>4</x:v>
      </x:c>
      <x:c r="D5" s="20" t="n">
        <x:v>46177.458333333336</x:v>
      </x:c>
      <x:c r="E5" s="20" t="n">
        <x:v>46177.46527777778</x:v>
      </x:c>
      <x:c r="F5" s="14" t="str">
        <x:v>Đã khớp</x:v>
      </x:c>
      <x:c r="G5" s="14" t="str">
        <x:v>DA003</x:v>
      </x:c>
      <x:c r="H5" s="14" t="str">
        <x:v>NV004</x:v>
      </x:c>
    </x:row>
    <x:row r="6" ht="20" customHeight="1">
      <x:c r="A6" s="14" t="str">
        <x:v>LHSG005</x:v>
      </x:c>
      <x:c r="B6" s="20" t="n">
        <x:v>46163.399305555555</x:v>
      </x:c>
      <x:c r="C6" s="14" t="n">
        <x:v>5</x:v>
      </x:c>
      <x:c r="D6" s="20" t="n">
        <x:v>46177.48263888889</x:v>
      </x:c>
      <x:c r="E6" s="20" t="n">
        <x:v>46177.489583333336</x:v>
      </x:c>
      <x:c r="F6" s="14" t="str">
        <x:v>Đã khớp</x:v>
      </x:c>
      <x:c r="G6" s="14" t="str">
        <x:v>DA003</x:v>
      </x:c>
      <x:c r="H6" s="14" t="str">
        <x:v>NV005</x:v>
      </x:c>
    </x:row>
    <x:row r="7" ht="20" customHeight="1">
      <x:c r="A7" s="14" t="str">
        <x:v>LHSG006</x:v>
      </x:c>
      <x:c r="B7" s="20" t="n">
        <x:v>46163.42361111111</x:v>
      </x:c>
      <x:c r="C7" s="14" t="n">
        <x:v>6</x:v>
      </x:c>
      <x:c r="D7" s="20" t="n">
        <x:v>46177.506944444445</x:v>
      </x:c>
      <x:c r="E7" s="20" t="n">
        <x:v>46177.51388888889</x:v>
      </x:c>
      <x:c r="F7" s="14" t="str">
        <x:v>Chưa khớp</x:v>
      </x:c>
      <x:c r="G7" s="14" t="str">
        <x:v>DA003</x:v>
      </x:c>
      <x:c r="H7" s="14" t="str">
        <x:v>NV006</x:v>
      </x:c>
    </x:row>
    <x:row r="8" ht="20" customHeight="1">
      <x:c r="A8" s="14" t="str">
        <x:v>LHSG007</x:v>
      </x:c>
      <x:c r="B8" s="20" t="n">
        <x:v>46164.375</x:v>
      </x:c>
      <x:c r="C8" s="14" t="n">
        <x:v>7</x:v>
      </x:c>
      <x:c r="D8" s="20" t="n">
        <x:v>46178.458333333336</x:v>
      </x:c>
      <x:c r="E8" s="20" t="n">
        <x:v>46178.46527777778</x:v>
      </x:c>
      <x:c r="F8" s="14" t="str">
        <x:v>Hết thời gian</x:v>
      </x:c>
      <x:c r="G8" s="14" t="str">
        <x:v>DA003</x:v>
      </x:c>
      <x:c r="H8" s="14" t="str">
        <x:v>NV001</x:v>
      </x:c>
    </x:row>
    <x:row r="9" ht="20" customHeight="1">
      <x:c r="A9" s="14" t="str">
        <x:v>LHSG008</x:v>
      </x:c>
      <x:c r="B9" s="20" t="n">
        <x:v>46164.399305555555</x:v>
      </x:c>
      <x:c r="C9" s="14" t="n">
        <x:v>8</x:v>
      </x:c>
      <x:c r="D9" s="20" t="n">
        <x:v>46178.48263888889</x:v>
      </x:c>
      <x:c r="E9" s="20" t="n">
        <x:v>46178.489583333336</x:v>
      </x:c>
      <x:c r="F9" s="14" t="str">
        <x:v>Đã khớp</x:v>
      </x:c>
      <x:c r="G9" s="14" t="str">
        <x:v>DA003</x:v>
      </x:c>
      <x:c r="H9" s="14" t="str">
        <x:v>NV002</x:v>
      </x:c>
    </x:row>
    <x:row r="10" ht="20" customHeight="1">
      <x:c r="A10" s="14" t="str">
        <x:v>LHSG009</x:v>
      </x:c>
      <x:c r="B10" s="20" t="n">
        <x:v>46164.42361111111</x:v>
      </x:c>
      <x:c r="C10" s="14" t="n">
        <x:v>9</x:v>
      </x:c>
      <x:c r="D10" s="20" t="n">
        <x:v>46178.506944444445</x:v>
      </x:c>
      <x:c r="E10" s="20" t="n">
        <x:v>46178.51388888889</x:v>
      </x:c>
      <x:c r="F10" s="14" t="str">
        <x:v>Đã khớp</x:v>
      </x:c>
      <x:c r="G10" s="14" t="str">
        <x:v>DA003</x:v>
      </x:c>
      <x:c r="H10" s="14" t="str">
        <x:v>NV003</x:v>
      </x:c>
    </x:row>
    <x:row r="11" ht="20" customHeight="1">
      <x:c r="A11" s="14" t="str">
        <x:v>LHSG010</x:v>
      </x:c>
      <x:c r="B11" s="20" t="n">
        <x:v>46165.375</x:v>
      </x:c>
      <x:c r="C11" s="14" t="n">
        <x:v>10</x:v>
      </x:c>
      <x:c r="D11" s="20" t="n">
        <x:v>46179.458333333336</x:v>
      </x:c>
      <x:c r="E11" s="20" t="n">
        <x:v>46179.46527777778</x:v>
      </x:c>
      <x:c r="F11" s="14" t="str">
        <x:v>Chưa khớp</x:v>
      </x:c>
      <x:c r="G11" s="14" t="str">
        <x:v>DA003</x:v>
      </x:c>
      <x:c r="H11" s="14" t="str">
        <x:v>NV004</x:v>
      </x:c>
    </x:row>
    <x:row r="12" ht="20" customHeight="1">
      <x:c r="A12" s="14" t="str">
        <x:v>MGC001</x:v>
      </x:c>
      <x:c r="B12" s="20" t="n">
        <x:v>46165.399305555555</x:v>
      </x:c>
      <x:c r="C12" s="14" t="n">
        <x:v>1</x:v>
      </x:c>
      <x:c r="D12" s="20" t="n">
        <x:v>46179.48263888889</x:v>
      </x:c>
      <x:c r="E12" s="20" t="n">
        <x:v>46179.489583333336</x:v>
      </x:c>
      <x:c r="F12" s="14" t="str">
        <x:v>Hết thời gian</x:v>
      </x:c>
      <x:c r="G12" s="14" t="str">
        <x:v>DA004</x:v>
      </x:c>
      <x:c r="H12" s="14" t="str">
        <x:v>NV005</x:v>
      </x:c>
    </x:row>
    <x:row r="13" ht="20" customHeight="1">
      <x:c r="A13" s="14" t="str">
        <x:v>MGC002</x:v>
      </x:c>
      <x:c r="B13" s="20" t="n">
        <x:v>46165.42361111111</x:v>
      </x:c>
      <x:c r="C13" s="14" t="n">
        <x:v>2</x:v>
      </x:c>
      <x:c r="D13" s="20" t="n">
        <x:v>46179.506944444445</x:v>
      </x:c>
      <x:c r="E13" s="20" t="n">
        <x:v>46179.51388888889</x:v>
      </x:c>
      <x:c r="F13" s="14" t="str">
        <x:v>Đã khớp</x:v>
      </x:c>
      <x:c r="G13" s="14" t="str">
        <x:v>DA004</x:v>
      </x:c>
      <x:c r="H13" s="14" t="str">
        <x:v>NV006</x:v>
      </x:c>
    </x:row>
    <x:row r="14" ht="20" customHeight="1">
      <x:c r="A14" s="14" t="str">
        <x:v>MGC003</x:v>
      </x:c>
      <x:c r="B14" s="20" t="n">
        <x:v>46166.375</x:v>
      </x:c>
      <x:c r="C14" s="14" t="n">
        <x:v>3</x:v>
      </x:c>
      <x:c r="D14" s="20" t="n">
        <x:v>46180.458333333336</x:v>
      </x:c>
      <x:c r="E14" s="20" t="n">
        <x:v>46180.46527777778</x:v>
      </x:c>
      <x:c r="F14" s="14" t="str">
        <x:v>Đã khớp</x:v>
      </x:c>
      <x:c r="G14" s="14" t="str">
        <x:v>DA004</x:v>
      </x:c>
      <x:c r="H14" s="14" t="str">
        <x:v>NV001</x:v>
      </x:c>
    </x:row>
    <x:row r="15" ht="20" customHeight="1">
      <x:c r="A15" s="14" t="str">
        <x:v>MGC004</x:v>
      </x:c>
      <x:c r="B15" s="20" t="n">
        <x:v>46166.399305555555</x:v>
      </x:c>
      <x:c r="C15" s="14" t="n">
        <x:v>4</x:v>
      </x:c>
      <x:c r="D15" s="20" t="n">
        <x:v>46180.48263888889</x:v>
      </x:c>
      <x:c r="E15" s="20" t="n">
        <x:v>46180.489583333336</x:v>
      </x:c>
      <x:c r="F15" s="14" t="str">
        <x:v>Chưa khớp</x:v>
      </x:c>
      <x:c r="G15" s="14" t="str">
        <x:v>DA004</x:v>
      </x:c>
      <x:c r="H15" s="14" t="str">
        <x:v>NV002</x:v>
      </x:c>
    </x:row>
    <x:row r="16" ht="20" customHeight="1">
      <x:c r="A16" s="14" t="str">
        <x:v>MGC005</x:v>
      </x:c>
      <x:c r="B16" s="20" t="n">
        <x:v>46166.42361111111</x:v>
      </x:c>
      <x:c r="C16" s="14" t="n">
        <x:v>5</x:v>
      </x:c>
      <x:c r="D16" s="20" t="n">
        <x:v>46180.506944444445</x:v>
      </x:c>
      <x:c r="E16" s="20" t="n">
        <x:v>46180.51388888889</x:v>
      </x:c>
      <x:c r="F16" s="14" t="str">
        <x:v>Hết thời gian</x:v>
      </x:c>
      <x:c r="G16" s="14" t="str">
        <x:v>DA004</x:v>
      </x:c>
      <x:c r="H16" s="14" t="str">
        <x:v>NV003</x:v>
      </x:c>
    </x:row>
    <x:row r="17" ht="20" customHeight="1">
      <x:c r="A17" s="14" t="str">
        <x:v>MGC006</x:v>
      </x:c>
      <x:c r="B17" s="20" t="n">
        <x:v>46167.375</x:v>
      </x:c>
      <x:c r="C17" s="14" t="n">
        <x:v>6</x:v>
      </x:c>
      <x:c r="D17" s="20" t="n">
        <x:v>46181.458333333336</x:v>
      </x:c>
      <x:c r="E17" s="20" t="n">
        <x:v>46181.46527777778</x:v>
      </x:c>
      <x:c r="F17" s="14" t="str">
        <x:v>Đã khớp</x:v>
      </x:c>
      <x:c r="G17" s="14" t="str">
        <x:v>DA004</x:v>
      </x:c>
      <x:c r="H17" s="14" t="str">
        <x:v>NV004</x:v>
      </x:c>
    </x:row>
    <x:row r="18" ht="20" customHeight="1">
      <x:c r="A18" s="14" t="str">
        <x:v>MGC007</x:v>
      </x:c>
      <x:c r="B18" s="20" t="n">
        <x:v>46167.399305555555</x:v>
      </x:c>
      <x:c r="C18" s="14" t="n">
        <x:v>7</x:v>
      </x:c>
      <x:c r="D18" s="20" t="n">
        <x:v>46181.48263888889</x:v>
      </x:c>
      <x:c r="E18" s="20" t="n">
        <x:v>46181.489583333336</x:v>
      </x:c>
      <x:c r="F18" s="14" t="str">
        <x:v>Đã khớp</x:v>
      </x:c>
      <x:c r="G18" s="14" t="str">
        <x:v>DA004</x:v>
      </x:c>
      <x:c r="H18" s="14" t="str">
        <x:v>NV005</x:v>
      </x:c>
    </x:row>
    <x:row r="19" ht="20" customHeight="1">
      <x:c r="A19" s="14" t="str">
        <x:v>MGC008</x:v>
      </x:c>
      <x:c r="B19" s="20" t="n">
        <x:v>46167.42361111111</x:v>
      </x:c>
      <x:c r="C19" s="14" t="n">
        <x:v>8</x:v>
      </x:c>
      <x:c r="D19" s="20" t="n">
        <x:v>46181.506944444445</x:v>
      </x:c>
      <x:c r="E19" s="20" t="n">
        <x:v>46181.51388888889</x:v>
      </x:c>
      <x:c r="F19" s="14" t="str">
        <x:v>Chưa khớp</x:v>
      </x:c>
      <x:c r="G19" s="14" t="str">
        <x:v>DA004</x:v>
      </x:c>
      <x:c r="H19" s="14" t="str">
        <x:v>NV006</x:v>
      </x:c>
    </x:row>
    <x:row r="20" ht="20" customHeight="1">
      <x:c r="A20" s="14" t="str">
        <x:v>MGC009</x:v>
      </x:c>
      <x:c r="B20" s="20" t="n">
        <x:v>46168.375</x:v>
      </x:c>
      <x:c r="C20" s="14" t="n">
        <x:v>9</x:v>
      </x:c>
      <x:c r="D20" s="20" t="n">
        <x:v>46182.458333333336</x:v>
      </x:c>
      <x:c r="E20" s="20" t="n">
        <x:v>46182.46527777778</x:v>
      </x:c>
      <x:c r="F20" s="14" t="str">
        <x:v>Hết thời gian</x:v>
      </x:c>
      <x:c r="G20" s="14" t="str">
        <x:v>DA004</x:v>
      </x:c>
      <x:c r="H20" s="14" t="str">
        <x:v>NV001</x:v>
      </x:c>
    </x:row>
    <x:row r="21" ht="20" customHeight="1">
      <x:c r="A21" s="14" t="str">
        <x:v>MGC010</x:v>
      </x:c>
      <x:c r="B21" s="20" t="n">
        <x:v>46168.399305555555</x:v>
      </x:c>
      <x:c r="C21" s="14" t="n">
        <x:v>10</x:v>
      </x:c>
      <x:c r="D21" s="20" t="n">
        <x:v>46182.48263888889</x:v>
      </x:c>
      <x:c r="E21" s="20" t="n">
        <x:v>46182.489583333336</x:v>
      </x:c>
      <x:c r="F21" s="14" t="str">
        <x:v>Đã khớp</x:v>
      </x:c>
      <x:c r="G21" s="14" t="str">
        <x:v>DA004</x:v>
      </x:c>
      <x:c r="H21" s="14" t="str">
        <x:v>NV002</x:v>
      </x:c>
    </x:row>
    <x:row r="22" ht="20" customHeight="1">
      <x:c r="A22" s="14" t="str">
        <x:v>MGC011</x:v>
      </x:c>
      <x:c r="B22" s="20" t="n">
        <x:v>46168.42361111111</x:v>
      </x:c>
      <x:c r="C22" s="14" t="n">
        <x:v>11</x:v>
      </x:c>
      <x:c r="D22" s="20" t="n">
        <x:v>46182.506944444445</x:v>
      </x:c>
      <x:c r="E22" s="20" t="n">
        <x:v>46182.51388888889</x:v>
      </x:c>
      <x:c r="F22" s="14" t="str">
        <x:v>Đã khớp</x:v>
      </x:c>
      <x:c r="G22" s="14" t="str">
        <x:v>DA004</x:v>
      </x:c>
      <x:c r="H22" s="14" t="str">
        <x:v>NV003</x:v>
      </x:c>
    </x:row>
    <x:row r="23" ht="20" customHeight="1">
      <x:c r="A23" s="14" t="str">
        <x:v>MGC012</x:v>
      </x:c>
      <x:c r="B23" s="20" t="n">
        <x:v>46169.375</x:v>
      </x:c>
      <x:c r="C23" s="14" t="n">
        <x:v>12</x:v>
      </x:c>
      <x:c r="D23" s="20" t="n">
        <x:v>46183.458333333336</x:v>
      </x:c>
      <x:c r="E23" s="20" t="n">
        <x:v>46183.46527777778</x:v>
      </x:c>
      <x:c r="F23" s="14" t="str">
        <x:v>Chưa khớp</x:v>
      </x:c>
      <x:c r="G23" s="14" t="str">
        <x:v>DA004</x:v>
      </x:c>
      <x:c r="H23" s="14" t="str">
        <x:v>NV004</x:v>
      </x:c>
    </x:row>
    <x:row r="24" ht="20" customHeight="1">
      <x:c r="A24" s="14" t="str">
        <x:v>MGC013</x:v>
      </x:c>
      <x:c r="B24" s="20" t="n">
        <x:v>46169.399305555555</x:v>
      </x:c>
      <x:c r="C24" s="14" t="n">
        <x:v>13</x:v>
      </x:c>
      <x:c r="D24" s="20" t="n">
        <x:v>46183.48263888889</x:v>
      </x:c>
      <x:c r="E24" s="20" t="n">
        <x:v>46183.489583333336</x:v>
      </x:c>
      <x:c r="F24" s="14" t="str">
        <x:v>Hết thời gian</x:v>
      </x:c>
      <x:c r="G24" s="14" t="str">
        <x:v>DA004</x:v>
      </x:c>
      <x:c r="H24" s="14" t="str">
        <x:v>NV005</x:v>
      </x:c>
    </x:row>
    <x:row r="25" ht="20" customHeight="1">
      <x:c r="A25" s="14" t="str">
        <x:v>MGC014</x:v>
      </x:c>
      <x:c r="B25" s="20" t="n">
        <x:v>46169.42361111111</x:v>
      </x:c>
      <x:c r="C25" s="14" t="n">
        <x:v>14</x:v>
      </x:c>
      <x:c r="D25" s="20" t="n">
        <x:v>46183.506944444445</x:v>
      </x:c>
      <x:c r="E25" s="20" t="n">
        <x:v>46183.51388888889</x:v>
      </x:c>
      <x:c r="F25" s="14" t="str">
        <x:v>Đã khớp</x:v>
      </x:c>
      <x:c r="G25" s="14" t="str">
        <x:v>DA004</x:v>
      </x:c>
      <x:c r="H25" s="14" t="str">
        <x:v>NV006</x:v>
      </x:c>
    </x:row>
    <x:row r="26" ht="20" customHeight="1">
      <x:c r="A26" s="14" t="str">
        <x:v>LPP001</x:v>
      </x:c>
      <x:c r="B26" s="20" t="n">
        <x:v>46254.375</x:v>
      </x:c>
      <x:c r="C26" s="14" t="n">
        <x:v>1</x:v>
      </x:c>
      <x:c r="D26" s="20"/>
      <x:c r="E26" s="20"/>
      <x:c r="F26" s="14" t="str">
        <x:v>Chưa khớp</x:v>
      </x:c>
      <x:c r="G26" s="14" t="str">
        <x:v>DA005</x:v>
      </x:c>
      <x:c r="H26" s="14" t="str">
        <x:v>NV001</x:v>
      </x:c>
    </x:row>
    <x:row r="27" ht="20" customHeight="1">
      <x:c r="A27" s="14" t="str">
        <x:v>LPP002</x:v>
      </x:c>
      <x:c r="B27" s="20" t="n">
        <x:v>46254.5625</x:v>
      </x:c>
      <x:c r="C27" s="14" t="n">
        <x:v>2</x:v>
      </x:c>
      <x:c r="D27" s="20"/>
      <x:c r="E27" s="20"/>
      <x:c r="F27" s="14" t="str">
        <x:v>Chưa khớp</x:v>
      </x:c>
      <x:c r="G27" s="14" t="str">
        <x:v>DA005</x:v>
      </x:c>
      <x:c r="H27" s="14" t="str">
        <x:v>NV002</x:v>
      </x:c>
    </x:row>
    <x:row r="28" ht="20" customHeight="1">
      <x:c r="A28" s="14" t="str">
        <x:v>LPP003</x:v>
      </x:c>
      <x:c r="B28" s="20" t="n">
        <x:v>46254.75</x:v>
      </x:c>
      <x:c r="C28" s="14" t="n">
        <x:v>3</x:v>
      </x:c>
      <x:c r="D28" s="20"/>
      <x:c r="E28" s="20"/>
      <x:c r="F28" s="14" t="str">
        <x:v>Chưa khớp</x:v>
      </x:c>
      <x:c r="G28" s="14" t="str">
        <x:v>DA005</x:v>
      </x:c>
      <x:c r="H28" s="14" t="str">
        <x:v>NV003</x:v>
      </x:c>
    </x:row>
    <x:row r="29" ht="20" customHeight="1">
      <x:c r="A29" s="14" t="str">
        <x:v>LPP004</x:v>
      </x:c>
      <x:c r="B29" s="20" t="n">
        <x:v>46254.875</x:v>
      </x:c>
      <x:c r="C29" s="14" t="n">
        <x:v>4</x:v>
      </x:c>
      <x:c r="D29" s="20"/>
      <x:c r="E29" s="20"/>
      <x:c r="F29" s="14" t="str">
        <x:v>Chưa khớp</x:v>
      </x:c>
      <x:c r="G29" s="14" t="str">
        <x:v>DA005</x:v>
      </x:c>
      <x:c r="H29" s="14" t="str">
        <x:v>NV004</x:v>
      </x:c>
    </x:row>
    <x:row r="30" ht="20" customHeight="1">
      <x:c r="A30" s="14" t="str">
        <x:v>LPP005</x:v>
      </x:c>
      <x:c r="B30" s="20" t="n">
        <x:v>46255.0625</x:v>
      </x:c>
      <x:c r="C30" s="14" t="n">
        <x:v>5</x:v>
      </x:c>
      <x:c r="D30" s="20"/>
      <x:c r="E30" s="20"/>
      <x:c r="F30" s="14" t="str">
        <x:v>Chưa khớp</x:v>
      </x:c>
      <x:c r="G30" s="14" t="str">
        <x:v>DA005</x:v>
      </x:c>
      <x:c r="H30" s="14" t="str">
        <x:v>NV005</x:v>
      </x:c>
    </x:row>
    <x:row r="31" ht="20" customHeight="1">
      <x:c r="A31" s="14" t="str">
        <x:v>LPP006</x:v>
      </x:c>
      <x:c r="B31" s="20" t="n">
        <x:v>46255.25</x:v>
      </x:c>
      <x:c r="C31" s="14" t="n">
        <x:v>6</x:v>
      </x:c>
      <x:c r="D31" s="20"/>
      <x:c r="E31" s="20"/>
      <x:c r="F31" s="14" t="str">
        <x:v>Chưa khớp</x:v>
      </x:c>
      <x:c r="G31" s="14" t="str">
        <x:v>DA005</x:v>
      </x:c>
      <x:c r="H31" s="14" t="str">
        <x:v>NV006</x:v>
      </x:c>
    </x:row>
    <x:row r="32" ht="20" customHeight="1">
      <x:c r="A32" s="14" t="str">
        <x:v>LPP007</x:v>
      </x:c>
      <x:c r="B32" s="20" t="n">
        <x:v>46255.375</x:v>
      </x:c>
      <x:c r="C32" s="14" t="n">
        <x:v>7</x:v>
      </x:c>
      <x:c r="D32" s="20"/>
      <x:c r="E32" s="20"/>
      <x:c r="F32" s="14" t="str">
        <x:v>Chưa khớp</x:v>
      </x:c>
      <x:c r="G32" s="14" t="str">
        <x:v>DA005</x:v>
      </x:c>
      <x:c r="H32" s="14" t="str">
        <x:v>NV011</x:v>
      </x:c>
    </x:row>
    <x:row r="33" ht="20" customHeight="1">
      <x:c r="A33" s="14" t="str">
        <x:v>LPP008</x:v>
      </x:c>
      <x:c r="B33" s="20" t="n">
        <x:v>46255.5625</x:v>
      </x:c>
      <x:c r="C33" s="14" t="n">
        <x:v>8</x:v>
      </x:c>
      <x:c r="D33" s="20"/>
      <x:c r="E33" s="20"/>
      <x:c r="F33" s="14" t="str">
        <x:v>Chưa khớp</x:v>
      </x:c>
      <x:c r="G33" s="14" t="str">
        <x:v>DA005</x:v>
      </x:c>
      <x:c r="H33" s="14" t="str">
        <x:v>NV012</x:v>
      </x:c>
    </x:row>
    <x:row r="34" ht="20" customHeight="1">
      <x:c r="A34" s="14" t="str">
        <x:v>LPP009</x:v>
      </x:c>
      <x:c r="B34" s="20" t="n">
        <x:v>46255.75</x:v>
      </x:c>
      <x:c r="C34" s="14" t="n">
        <x:v>9</x:v>
      </x:c>
      <x:c r="D34" s="20"/>
      <x:c r="E34" s="20"/>
      <x:c r="F34" s="14" t="str">
        <x:v>Chưa khớp</x:v>
      </x:c>
      <x:c r="G34" s="14" t="str">
        <x:v>DA005</x:v>
      </x:c>
      <x:c r="H34" s="14" t="str">
        <x:v>NV013</x:v>
      </x:c>
    </x:row>
    <x:row r="35" ht="20" customHeight="1">
      <x:c r="A35" s="14" t="str">
        <x:v>LPP010</x:v>
      </x:c>
      <x:c r="B35" s="20" t="n">
        <x:v>46255.875</x:v>
      </x:c>
      <x:c r="C35" s="14" t="n">
        <x:v>10</x:v>
      </x:c>
      <x:c r="D35" s="20"/>
      <x:c r="E35" s="20"/>
      <x:c r="F35" s="14" t="str">
        <x:v>Chưa khớp</x:v>
      </x:c>
      <x:c r="G35" s="14" t="str">
        <x:v>DA005</x:v>
      </x:c>
      <x:c r="H35" s="14" t="str">
        <x:v>NV001</x:v>
      </x:c>
    </x:row>
    <x:row r="36" ht="20" customHeight="1">
      <x:c r="A36" s="14" t="str">
        <x:v>LPP011</x:v>
      </x:c>
      <x:c r="B36" s="20" t="n">
        <x:v>46256.0625</x:v>
      </x:c>
      <x:c r="C36" s="14" t="n">
        <x:v>11</x:v>
      </x:c>
      <x:c r="D36" s="20"/>
      <x:c r="E36" s="20"/>
      <x:c r="F36" s="14" t="str">
        <x:v>Chưa khớp</x:v>
      </x:c>
      <x:c r="G36" s="14" t="str">
        <x:v>DA005</x:v>
      </x:c>
      <x:c r="H36" s="14" t="str">
        <x:v>NV002</x:v>
      </x:c>
    </x:row>
    <x:row r="37" ht="20" customHeight="1">
      <x:c r="A37" s="14" t="str">
        <x:v>LPP012</x:v>
      </x:c>
      <x:c r="B37" s="20" t="n">
        <x:v>46256.25</x:v>
      </x:c>
      <x:c r="C37" s="14" t="n">
        <x:v>12</x:v>
      </x:c>
      <x:c r="D37" s="20"/>
      <x:c r="E37" s="20"/>
      <x:c r="F37" s="14" t="str">
        <x:v>Chưa khớp</x:v>
      </x:c>
      <x:c r="G37" s="14" t="str">
        <x:v>DA005</x:v>
      </x:c>
      <x:c r="H37" s="14" t="str">
        <x:v>NV003</x:v>
      </x:c>
    </x:row>
    <x:row r="38" ht="20" customHeight="1">
      <x:c r="A38" s="14" t="str">
        <x:v>MPV001</x:v>
      </x:c>
      <x:c r="B38" s="20" t="n">
        <x:v>46255.416666666664</x:v>
      </x:c>
      <x:c r="C38" s="14" t="n">
        <x:v>1</x:v>
      </x:c>
      <x:c r="D38" s="20"/>
      <x:c r="E38" s="20"/>
      <x:c r="F38" s="14" t="str">
        <x:v>Chưa khớp</x:v>
      </x:c>
      <x:c r="G38" s="14" t="str">
        <x:v>DA006</x:v>
      </x:c>
      <x:c r="H38" s="14" t="str">
        <x:v>NV004</x:v>
      </x:c>
    </x:row>
    <x:row r="39" ht="20" customHeight="1">
      <x:c r="A39" s="14" t="str">
        <x:v>MPV002</x:v>
      </x:c>
      <x:c r="B39" s="20" t="n">
        <x:v>46255.65625</x:v>
      </x:c>
      <x:c r="C39" s="14" t="n">
        <x:v>2</x:v>
      </x:c>
      <x:c r="D39" s="20"/>
      <x:c r="E39" s="20"/>
      <x:c r="F39" s="14" t="str">
        <x:v>Chưa khớp</x:v>
      </x:c>
      <x:c r="G39" s="14" t="str">
        <x:v>DA006</x:v>
      </x:c>
      <x:c r="H39" s="14" t="str">
        <x:v>NV005</x:v>
      </x:c>
    </x:row>
    <x:row r="40" ht="20" customHeight="1">
      <x:c r="A40" s="14" t="str">
        <x:v>MPV003</x:v>
      </x:c>
      <x:c r="B40" s="20" t="n">
        <x:v>46255.833333333336</x:v>
      </x:c>
      <x:c r="C40" s="14" t="n">
        <x:v>3</x:v>
      </x:c>
      <x:c r="D40" s="20"/>
      <x:c r="E40" s="20"/>
      <x:c r="F40" s="14" t="str">
        <x:v>Chưa khớp</x:v>
      </x:c>
      <x:c r="G40" s="14" t="str">
        <x:v>DA006</x:v>
      </x:c>
      <x:c r="H40" s="14" t="str">
        <x:v>NV006</x:v>
      </x:c>
    </x:row>
    <x:row r="41" ht="20" customHeight="1">
      <x:c r="A41" s="14" t="str">
        <x:v>MPV004</x:v>
      </x:c>
      <x:c r="B41" s="20" t="n">
        <x:v>46256.072916666664</x:v>
      </x:c>
      <x:c r="C41" s="14" t="n">
        <x:v>4</x:v>
      </x:c>
      <x:c r="D41" s="20"/>
      <x:c r="E41" s="20"/>
      <x:c r="F41" s="14" t="str">
        <x:v>Chưa khớp</x:v>
      </x:c>
      <x:c r="G41" s="14" t="str">
        <x:v>DA006</x:v>
      </x:c>
      <x:c r="H41" s="14" t="str">
        <x:v>NV011</x:v>
      </x:c>
    </x:row>
    <x:row r="42" ht="20" customHeight="1">
      <x:c r="A42" s="14" t="str">
        <x:v>MPV005</x:v>
      </x:c>
      <x:c r="B42" s="20" t="n">
        <x:v>46256.25</x:v>
      </x:c>
      <x:c r="C42" s="14" t="n">
        <x:v>5</x:v>
      </x:c>
      <x:c r="D42" s="20"/>
      <x:c r="E42" s="20"/>
      <x:c r="F42" s="14" t="str">
        <x:v>Chưa khớp</x:v>
      </x:c>
      <x:c r="G42" s="14" t="str">
        <x:v>DA006</x:v>
      </x:c>
      <x:c r="H42" s="14" t="str">
        <x:v>NV012</x:v>
      </x:c>
    </x:row>
    <x:row r="43" ht="20" customHeight="1">
      <x:c r="A43" s="14" t="str">
        <x:v>MPV006</x:v>
      </x:c>
      <x:c r="B43" s="20" t="n">
        <x:v>46256.489583333336</x:v>
      </x:c>
      <x:c r="C43" s="14" t="n">
        <x:v>6</x:v>
      </x:c>
      <x:c r="D43" s="20"/>
      <x:c r="E43" s="20"/>
      <x:c r="F43" s="14" t="str">
        <x:v>Chưa khớp</x:v>
      </x:c>
      <x:c r="G43" s="14" t="str">
        <x:v>DA006</x:v>
      </x:c>
      <x:c r="H43" s="14" t="str">
        <x:v>NV013</x:v>
      </x:c>
    </x:row>
    <x:row r="44" ht="20" customHeight="1">
      <x:c r="A44" s="14" t="str">
        <x:v>MPV007</x:v>
      </x:c>
      <x:c r="B44" s="20" t="n">
        <x:v>46256.666666666664</x:v>
      </x:c>
      <x:c r="C44" s="14" t="n">
        <x:v>7</x:v>
      </x:c>
      <x:c r="D44" s="20"/>
      <x:c r="E44" s="20"/>
      <x:c r="F44" s="14" t="str">
        <x:v>Chưa khớp</x:v>
      </x:c>
      <x:c r="G44" s="14" t="str">
        <x:v>DA006</x:v>
      </x:c>
      <x:c r="H44" s="14" t="str">
        <x:v>NV001</x:v>
      </x:c>
    </x:row>
    <x:row r="45" ht="20" customHeight="1">
      <x:c r="A45" s="14" t="str">
        <x:v>MPV008</x:v>
      </x:c>
      <x:c r="B45" s="20" t="n">
        <x:v>46256.90625</x:v>
      </x:c>
      <x:c r="C45" s="14" t="n">
        <x:v>8</x:v>
      </x:c>
      <x:c r="D45" s="20"/>
      <x:c r="E45" s="20"/>
      <x:c r="F45" s="14" t="str">
        <x:v>Chưa khớp</x:v>
      </x:c>
      <x:c r="G45" s="14" t="str">
        <x:v>DA006</x:v>
      </x:c>
      <x:c r="H45" s="14" t="str">
        <x:v>NV002</x:v>
      </x:c>
    </x:row>
    <x:row r="46" ht="20" customHeight="1">
      <x:c r="A46" s="14" t="str">
        <x:v>MPV009</x:v>
      </x:c>
      <x:c r="B46" s="20" t="n">
        <x:v>46257.083333333336</x:v>
      </x:c>
      <x:c r="C46" s="14" t="n">
        <x:v>9</x:v>
      </x:c>
      <x:c r="D46" s="20"/>
      <x:c r="E46" s="20"/>
      <x:c r="F46" s="14" t="str">
        <x:v>Chưa khớp</x:v>
      </x:c>
      <x:c r="G46" s="14" t="str">
        <x:v>DA006</x:v>
      </x:c>
      <x:c r="H46" s="14" t="str">
        <x:v>NV003</x:v>
      </x:c>
    </x:row>
    <x:row r="47" ht="20" customHeight="1">
      <x:c r="A47" s="14" t="str">
        <x:v>MPV010</x:v>
      </x:c>
      <x:c r="B47" s="20" t="n">
        <x:v>46257.322916666664</x:v>
      </x:c>
      <x:c r="C47" s="14" t="n">
        <x:v>10</x:v>
      </x:c>
      <x:c r="D47" s="20"/>
      <x:c r="E47" s="20"/>
      <x:c r="F47" s="14" t="str">
        <x:v>Chưa khớp</x:v>
      </x:c>
      <x:c r="G47" s="14" t="str">
        <x:v>DA006</x:v>
      </x:c>
      <x:c r="H47" s="14" t="str">
        <x:v>NV004</x:v>
      </x:c>
    </x:row>
    <x:row r="48" ht="20" customHeight="1">
      <x:c r="A48" s="14" t="str">
        <x:v>MPV011</x:v>
      </x:c>
      <x:c r="B48" s="20" t="n">
        <x:v>46257.5</x:v>
      </x:c>
      <x:c r="C48" s="14" t="n">
        <x:v>11</x:v>
      </x:c>
      <x:c r="D48" s="20"/>
      <x:c r="E48" s="20"/>
      <x:c r="F48" s="14" t="str">
        <x:v>Chưa khớp</x:v>
      </x:c>
      <x:c r="G48" s="14" t="str">
        <x:v>DA006</x:v>
      </x:c>
      <x:c r="H48" s="14" t="str">
        <x:v>NV005</x:v>
      </x:c>
    </x:row>
    <x:row r="49" ht="20" customHeight="1">
      <x:c r="A49" s="14" t="str">
        <x:v>MPV012</x:v>
      </x:c>
      <x:c r="B49" s="20" t="n">
        <x:v>46257.739583333336</x:v>
      </x:c>
      <x:c r="C49" s="14" t="n">
        <x:v>12</x:v>
      </x:c>
      <x:c r="D49" s="20"/>
      <x:c r="E49" s="20"/>
      <x:c r="F49" s="14" t="str">
        <x:v>Chưa khớp</x:v>
      </x:c>
      <x:c r="G49" s="14" t="str">
        <x:v>DA006</x:v>
      </x:c>
      <x:c r="H49" s="14" t="str">
        <x:v>NV006</x:v>
      </x:c>
    </x:row>
  </x:sheetData>
  <x:pageMargins left="0.7" right="0.7" top="0.75" bottom="0.75" header="0.3" footer="0.3"/>
  <x:tableParts count="1">
    <x:tablePart xmlns:r="http://schemas.openxmlformats.org/officeDocument/2006/relationships" r:id="R3ef9ca26fcae4e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  <x:col min="8" max="8" width="12" hidden="0" customWidth="1"/>
  </x:cols>
  <x:sheetData>
    <x:row r="1" ht="24" customHeight="1">
      <x:c r="A1" s="10" t="str">
        <x:v>MaLock</x:v>
      </x:c>
      <x:c r="B1" s="10" t="str">
        <x:v>ThoiGianBatDau</x:v>
      </x:c>
      <x:c r="C1" s="10" t="str">
        <x:v>ThoiGianKetThuc</x:v>
      </x:c>
      <x:c r="D1" s="10" t="str">
        <x:v>SoTienCoc</x:v>
      </x:c>
      <x:c r="E1" s="10" t="str">
        <x:v>TrangThaiGiaoDich</x:v>
      </x:c>
      <x:c r="F1" s="10" t="str">
        <x:v>ThoiGianCoc</x:v>
      </x:c>
      <x:c r="G1" s="10" t="str">
        <x:v>MaCan</x:v>
      </x:c>
      <x:c r="H1" s="10" t="str">
        <x:v>MaNV</x:v>
      </x:c>
    </x:row>
    <x:row r="2" ht="20" customHeight="1">
      <x:c r="A2" s="14" t="str">
        <x:v>LL001</x:v>
      </x:c>
      <x:c r="B2" s="20" t="n">
        <x:v>46174.375</x:v>
      </x:c>
      <x:c r="C2" s="20" t="n">
        <x:v>46174.395833333336</x:v>
      </x:c>
      <x:c r="D2" s="18" t="n">
        <x:v>100000000</x:v>
      </x:c>
      <x:c r="E2" s="14" t="str">
        <x:v>Cọc thành công</x:v>
      </x:c>
      <x:c r="F2" s="20" t="n">
        <x:v>46174.3875</x:v>
      </x:c>
      <x:c r="G2" s="14" t="str">
        <x:v>V1.0515</x:v>
      </x:c>
      <x:c r="H2" s="14" t="str">
        <x:v>NV001</x:v>
      </x:c>
    </x:row>
    <x:row r="3" ht="20" customHeight="1">
      <x:c r="A3" s="14" t="str">
        <x:v>LL002</x:v>
      </x:c>
      <x:c r="B3" s="20" t="n">
        <x:v>46176.416666666664</x:v>
      </x:c>
      <x:c r="C3" s="20" t="n">
        <x:v>46176.4375</x:v>
      </x:c>
      <x:c r="D3" s="18" t="n">
        <x:v>100000000</x:v>
      </x:c>
      <x:c r="E3" s="14" t="str">
        <x:v>Cọc thành công</x:v>
      </x:c>
      <x:c r="F3" s="20" t="n">
        <x:v>46176.42916666667</x:v>
      </x:c>
      <x:c r="G3" s="14" t="str">
        <x:v>V1.0620</x:v>
      </x:c>
      <x:c r="H3" s="14" t="str">
        <x:v>NV002</x:v>
      </x:c>
    </x:row>
    <x:row r="4" ht="20" customHeight="1">
      <x:c r="A4" s="14" t="str">
        <x:v>LL003</x:v>
      </x:c>
      <x:c r="B4" s="20" t="n">
        <x:v>46178.458333333336</x:v>
      </x:c>
      <x:c r="C4" s="20" t="n">
        <x:v>46178.479166666664</x:v>
      </x:c>
      <x:c r="D4" s="18" t="n">
        <x:v>100000000</x:v>
      </x:c>
      <x:c r="E4" s="14" t="str">
        <x:v>Cọc thành công</x:v>
      </x:c>
      <x:c r="F4" s="20" t="n">
        <x:v>46178.47083333333</x:v>
      </x:c>
      <x:c r="G4" s="14" t="str">
        <x:v>V1.1401</x:v>
      </x:c>
      <x:c r="H4" s="14" t="str">
        <x:v>NV003</x:v>
      </x:c>
    </x:row>
    <x:row r="5" ht="20" customHeight="1">
      <x:c r="A5" s="14" t="str">
        <x:v>LL004</x:v>
      </x:c>
      <x:c r="B5" s="20" t="n">
        <x:v>46180.5</x:v>
      </x:c>
      <x:c r="C5" s="20" t="n">
        <x:v>46180.520833333336</x:v>
      </x:c>
      <x:c r="D5" s="18" t="n">
        <x:v>100000000</x:v>
      </x:c>
      <x:c r="E5" s="14" t="str">
        <x:v>Cọc thành công</x:v>
      </x:c>
      <x:c r="F5" s="20" t="n">
        <x:v>46180.5125</x:v>
      </x:c>
      <x:c r="G5" s="14" t="str">
        <x:v>V1.1420</x:v>
      </x:c>
      <x:c r="H5" s="14" t="str">
        <x:v>NV004</x:v>
      </x:c>
    </x:row>
    <x:row r="6" ht="20" customHeight="1">
      <x:c r="A6" s="14" t="str">
        <x:v>LL005</x:v>
      </x:c>
      <x:c r="B6" s="20" t="n">
        <x:v>46182.541666666664</x:v>
      </x:c>
      <x:c r="C6" s="20" t="n">
        <x:v>46182.5625</x:v>
      </x:c>
      <x:c r="D6" s="18" t="n">
        <x:v>100000000</x:v>
      </x:c>
      <x:c r="E6" s="14" t="str">
        <x:v>Cọc thành công</x:v>
      </x:c>
      <x:c r="F6" s="20" t="n">
        <x:v>46182.55416666667</x:v>
      </x:c>
      <x:c r="G6" s="14" t="str">
        <x:v>V1.1701</x:v>
      </x:c>
      <x:c r="H6" s="14" t="str">
        <x:v>NV005</x:v>
      </x:c>
    </x:row>
    <x:row r="7" ht="20" customHeight="1">
      <x:c r="A7" s="14" t="str">
        <x:v>LL006</x:v>
      </x:c>
      <x:c r="B7" s="20" t="n">
        <x:v>46184.375</x:v>
      </x:c>
      <x:c r="C7" s="20" t="n">
        <x:v>46184.395833333336</x:v>
      </x:c>
      <x:c r="D7" s="18" t="n">
        <x:v>100000000</x:v>
      </x:c>
      <x:c r="E7" s="14" t="str">
        <x:v>Cọc thành công</x:v>
      </x:c>
      <x:c r="F7" s="20" t="n">
        <x:v>46184.3875</x:v>
      </x:c>
      <x:c r="G7" s="14" t="str">
        <x:v>V1.2512</x:v>
      </x:c>
      <x:c r="H7" s="14" t="str">
        <x:v>NV006</x:v>
      </x:c>
    </x:row>
    <x:row r="8" ht="20" customHeight="1">
      <x:c r="A8" s="14" t="str">
        <x:v>LL007</x:v>
      </x:c>
      <x:c r="B8" s="20" t="n">
        <x:v>46186.416666666664</x:v>
      </x:c>
      <x:c r="C8" s="20" t="n">
        <x:v>46186.4375</x:v>
      </x:c>
      <x:c r="D8" s="18" t="n">
        <x:v>100000000</x:v>
      </x:c>
      <x:c r="E8" s="14" t="str">
        <x:v>Cọc thành công</x:v>
      </x:c>
      <x:c r="F8" s="20" t="n">
        <x:v>46186.42916666667</x:v>
      </x:c>
      <x:c r="G8" s="14" t="str">
        <x:v>V2.0610</x:v>
      </x:c>
      <x:c r="H8" s="14" t="str">
        <x:v>NV011</x:v>
      </x:c>
    </x:row>
    <x:row r="9" ht="20" customHeight="1">
      <x:c r="A9" s="14" t="str">
        <x:v>LL008</x:v>
      </x:c>
      <x:c r="B9" s="20" t="n">
        <x:v>46188.458333333336</x:v>
      </x:c>
      <x:c r="C9" s="20" t="n">
        <x:v>46188.479166666664</x:v>
      </x:c>
      <x:c r="D9" s="18" t="n">
        <x:v>100000000</x:v>
      </x:c>
      <x:c r="E9" s="14" t="str">
        <x:v>Cọc thành công</x:v>
      </x:c>
      <x:c r="F9" s="20" t="n">
        <x:v>46188.47083333333</x:v>
      </x:c>
      <x:c r="G9" s="14" t="str">
        <x:v>V2.0708</x:v>
      </x:c>
      <x:c r="H9" s="14" t="str">
        <x:v>NV012</x:v>
      </x:c>
    </x:row>
    <x:row r="10" ht="20" customHeight="1">
      <x:c r="A10" s="14" t="str">
        <x:v>LL009</x:v>
      </x:c>
      <x:c r="B10" s="20" t="n">
        <x:v>46190.5</x:v>
      </x:c>
      <x:c r="C10" s="20" t="n">
        <x:v>46190.520833333336</x:v>
      </x:c>
      <x:c r="D10" s="18" t="n">
        <x:v>500000000</x:v>
      </x:c>
      <x:c r="E10" s="14" t="str">
        <x:v>Cọc thành công</x:v>
      </x:c>
      <x:c r="F10" s="20" t="n">
        <x:v>46190.5125</x:v>
      </x:c>
      <x:c r="G10" s="14" t="str">
        <x:v>TT4-18</x:v>
      </x:c>
      <x:c r="H10" s="14" t="str">
        <x:v>NV013</x:v>
      </x:c>
    </x:row>
    <x:row r="11" ht="20" customHeight="1">
      <x:c r="A11" s="14" t="str">
        <x:v>LL010</x:v>
      </x:c>
      <x:c r="B11" s="20" t="n">
        <x:v>46192.541666666664</x:v>
      </x:c>
      <x:c r="C11" s="20" t="n">
        <x:v>46192.5625</x:v>
      </x:c>
      <x:c r="D11" s="18" t="n">
        <x:v>500000000</x:v>
      </x:c>
      <x:c r="E11" s="14" t="str">
        <x:v>Cọc thành công</x:v>
      </x:c>
      <x:c r="F11" s="20" t="n">
        <x:v>46192.55416666667</x:v>
      </x:c>
      <x:c r="G11" s="14" t="str">
        <x:v>TT4-19</x:v>
      </x:c>
      <x:c r="H11" s="14" t="str">
        <x:v>NV001</x:v>
      </x:c>
    </x:row>
    <x:row r="12" ht="20" customHeight="1">
      <x:c r="A12" s="14" t="str">
        <x:v>LL011</x:v>
      </x:c>
      <x:c r="B12" s="20" t="n">
        <x:v>46194.375</x:v>
      </x:c>
      <x:c r="C12" s="20" t="n">
        <x:v>46194.395833333336</x:v>
      </x:c>
      <x:c r="D12" s="18" t="n">
        <x:v>500000000</x:v>
      </x:c>
      <x:c r="E12" s="14" t="str">
        <x:v>Cọc thành công</x:v>
      </x:c>
      <x:c r="F12" s="20" t="n">
        <x:v>46194.3875</x:v>
      </x:c>
      <x:c r="G12" s="14" t="str">
        <x:v>TT4-20</x:v>
      </x:c>
      <x:c r="H12" s="14" t="str">
        <x:v>NV002</x:v>
      </x:c>
    </x:row>
    <x:row r="13" ht="20" customHeight="1">
      <x:c r="A13" s="14" t="str">
        <x:v>LL012</x:v>
      </x:c>
      <x:c r="B13" s="20" t="n">
        <x:v>46196.416666666664</x:v>
      </x:c>
      <x:c r="C13" s="20" t="n">
        <x:v>46196.4375</x:v>
      </x:c>
      <x:c r="D13" s="18" t="n">
        <x:v>500000000</x:v>
      </x:c>
      <x:c r="E13" s="14" t="str">
        <x:v>Cọc thành công</x:v>
      </x:c>
      <x:c r="F13" s="20" t="n">
        <x:v>46196.42916666667</x:v>
      </x:c>
      <x:c r="G13" s="14" t="str">
        <x:v>TT4-21</x:v>
      </x:c>
      <x:c r="H13" s="14" t="str">
        <x:v>NV003</x:v>
      </x:c>
    </x:row>
    <x:row r="14" ht="20" customHeight="1">
      <x:c r="A14" s="14" t="str">
        <x:v>LL013</x:v>
      </x:c>
      <x:c r="B14" s="20" t="n">
        <x:v>46198.458333333336</x:v>
      </x:c>
      <x:c r="C14" s="20" t="n">
        <x:v>46198.479166666664</x:v>
      </x:c>
      <x:c r="D14" s="18" t="n">
        <x:v>500000000</x:v>
      </x:c>
      <x:c r="E14" s="14" t="str">
        <x:v>Cọc thành công</x:v>
      </x:c>
      <x:c r="F14" s="20" t="n">
        <x:v>46198.47083333333</x:v>
      </x:c>
      <x:c r="G14" s="14" t="str">
        <x:v>TT5-8</x:v>
      </x:c>
      <x:c r="H14" s="14" t="str">
        <x:v>NV004</x:v>
      </x:c>
    </x:row>
    <x:row r="15" ht="20" customHeight="1">
      <x:c r="A15" s="14" t="str">
        <x:v>LL014</x:v>
      </x:c>
      <x:c r="B15" s="20" t="n">
        <x:v>46200.5</x:v>
      </x:c>
      <x:c r="C15" s="20" t="n">
        <x:v>46200.520833333336</x:v>
      </x:c>
      <x:c r="D15" s="18" t="n">
        <x:v>500000000</x:v>
      </x:c>
      <x:c r="E15" s="14" t="str">
        <x:v>Cọc thành công</x:v>
      </x:c>
      <x:c r="F15" s="20" t="n">
        <x:v>46200.5125</x:v>
      </x:c>
      <x:c r="G15" s="14" t="str">
        <x:v>TT5-9</x:v>
      </x:c>
      <x:c r="H15" s="14" t="str">
        <x:v>NV005</x:v>
      </x:c>
    </x:row>
    <x:row r="16" ht="20" customHeight="1">
      <x:c r="A16" s="14" t="str">
        <x:v>LL015</x:v>
      </x:c>
      <x:c r="B16" s="20" t="n">
        <x:v>46202.541666666664</x:v>
      </x:c>
      <x:c r="C16" s="20" t="n">
        <x:v>46202.5625</x:v>
      </x:c>
      <x:c r="D16" s="18" t="n">
        <x:v>100000000</x:v>
      </x:c>
      <x:c r="E16" s="14" t="str">
        <x:v>Cọc thành công</x:v>
      </x:c>
      <x:c r="F16" s="20" t="n">
        <x:v>46202.55416666667</x:v>
      </x:c>
      <x:c r="G16" s="14" t="str">
        <x:v>HH-B-17-18</x:v>
      </x:c>
      <x:c r="H16" s="14" t="str">
        <x:v>NV006</x:v>
      </x:c>
    </x:row>
    <x:row r="17" ht="20" customHeight="1">
      <x:c r="A17" s="14" t="str">
        <x:v>LL016</x:v>
      </x:c>
      <x:c r="B17" s="20" t="n">
        <x:v>46204.375</x:v>
      </x:c>
      <x:c r="C17" s="20" t="n">
        <x:v>46204.395833333336</x:v>
      </x:c>
      <x:c r="D17" s="18" t="n">
        <x:v>100000000</x:v>
      </x:c>
      <x:c r="E17" s="14" t="str">
        <x:v>Cọc thành công</x:v>
      </x:c>
      <x:c r="F17" s="20" t="n">
        <x:v>46204.3875</x:v>
      </x:c>
      <x:c r="G17" s="14" t="str">
        <x:v>C5L1-08-05A</x:v>
      </x:c>
      <x:c r="H17" s="14" t="str">
        <x:v>NV011</x:v>
      </x:c>
    </x:row>
    <x:row r="18" ht="20" customHeight="1">
      <x:c r="A18" s="14" t="str">
        <x:v>LL017</x:v>
      </x:c>
      <x:c r="B18" s="20" t="n">
        <x:v>46206.416666666664</x:v>
      </x:c>
      <x:c r="C18" s="20" t="n">
        <x:v>46206.4375</x:v>
      </x:c>
      <x:c r="D18" s="18" t="n">
        <x:v>100000000</x:v>
      </x:c>
      <x:c r="E18" s="14" t="str">
        <x:v>Cọc thành công</x:v>
      </x:c>
      <x:c r="F18" s="20" t="n">
        <x:v>46206.42916666667</x:v>
      </x:c>
      <x:c r="G18" s="14" t="str">
        <x:v>C5L1-08-12A</x:v>
      </x:c>
      <x:c r="H18" s="14" t="str">
        <x:v>NV012</x:v>
      </x:c>
    </x:row>
    <x:row r="19" ht="20" customHeight="1">
      <x:c r="A19" s="14" t="str">
        <x:v>LL018</x:v>
      </x:c>
      <x:c r="B19" s="20" t="n">
        <x:v>46208.458333333336</x:v>
      </x:c>
      <x:c r="C19" s="20" t="n">
        <x:v>46208.479166666664</x:v>
      </x:c>
      <x:c r="D19" s="18" t="n">
        <x:v>100000000</x:v>
      </x:c>
      <x:c r="E19" s="14" t="str">
        <x:v>Cọc thành công</x:v>
      </x:c>
      <x:c r="F19" s="20" t="n">
        <x:v>46208.47083333333</x:v>
      </x:c>
      <x:c r="G19" s="14" t="str">
        <x:v>C5Z1-05-12A</x:v>
      </x:c>
      <x:c r="H19" s="14" t="str">
        <x:v>NV013</x:v>
      </x:c>
    </x:row>
    <x:row r="20" ht="20" customHeight="1">
      <x:c r="A20" s="14" t="str">
        <x:v>LL019</x:v>
      </x:c>
      <x:c r="B20" s="20" t="n">
        <x:v>46210.5</x:v>
      </x:c>
      <x:c r="C20" s="20" t="n">
        <x:v>46210.520833333336</x:v>
      </x:c>
      <x:c r="D20" s="18" t="n">
        <x:v>100000000</x:v>
      </x:c>
      <x:c r="E20" s="14" t="str">
        <x:v>Cọc thành công</x:v>
      </x:c>
      <x:c r="F20" s="20" t="n">
        <x:v>46210.5125</x:v>
      </x:c>
      <x:c r="G20" s="14" t="str">
        <x:v>C5Z1-05-18</x:v>
      </x:c>
      <x:c r="H20" s="14" t="str">
        <x:v>NV001</x:v>
      </x:c>
    </x:row>
    <x:row r="21" ht="20" customHeight="1">
      <x:c r="A21" s="14" t="str">
        <x:v>LL020</x:v>
      </x:c>
      <x:c r="B21" s="20" t="n">
        <x:v>46212.541666666664</x:v>
      </x:c>
      <x:c r="C21" s="20" t="n">
        <x:v>46212.5625</x:v>
      </x:c>
      <x:c r="D21" s="18" t="n">
        <x:v>100000000</x:v>
      </x:c>
      <x:c r="E21" s="14" t="str">
        <x:v>Cọc thành công</x:v>
      </x:c>
      <x:c r="F21" s="20" t="n">
        <x:v>46212.55416666667</x:v>
      </x:c>
      <x:c r="G21" s="14" t="str">
        <x:v>C5Z3-08-05A</x:v>
      </x:c>
      <x:c r="H21" s="14" t="str">
        <x:v>NV002</x:v>
      </x:c>
    </x:row>
    <x:row r="22" ht="20" customHeight="1">
      <x:c r="A22" s="14" t="str">
        <x:v>LL021</x:v>
      </x:c>
      <x:c r="B22" s="20" t="n">
        <x:v>46214.375</x:v>
      </x:c>
      <x:c r="C22" s="20" t="n">
        <x:v>46214.395833333336</x:v>
      </x:c>
      <x:c r="D22" s="18" t="n">
        <x:v>100000000</x:v>
      </x:c>
      <x:c r="E22" s="14" t="str">
        <x:v>Cọc thành công</x:v>
      </x:c>
      <x:c r="F22" s="20" t="n">
        <x:v>46214.3875</x:v>
      </x:c>
      <x:c r="G22" s="14" t="str">
        <x:v>C5Z3-08-15A</x:v>
      </x:c>
      <x:c r="H22" s="14" t="str">
        <x:v>NV003</x:v>
      </x:c>
    </x:row>
    <x:row r="23" ht="20" customHeight="1">
      <x:c r="A23" s="14" t="str">
        <x:v>LL022</x:v>
      </x:c>
      <x:c r="B23" s="20" t="n">
        <x:v>46216.416666666664</x:v>
      </x:c>
      <x:c r="C23" s="20" t="n">
        <x:v>46216.4375</x:v>
      </x:c>
      <x:c r="D23" s="18" t="n">
        <x:v>100000000</x:v>
      </x:c>
      <x:c r="E23" s="14" t="str">
        <x:v>Cọc thành công</x:v>
      </x:c>
      <x:c r="F23" s="20" t="n">
        <x:v>46216.42916666667</x:v>
      </x:c>
      <x:c r="G23" s="14" t="str">
        <x:v>C5Z3-08-03</x:v>
      </x:c>
      <x:c r="H23" s="14" t="str">
        <x:v>NV004</x:v>
      </x:c>
    </x:row>
    <x:row r="24" ht="20" customHeight="1">
      <x:c r="A24" s="14" t="str">
        <x:v>LL023</x:v>
      </x:c>
      <x:c r="B24" s="20" t="n">
        <x:v>46218.458333333336</x:v>
      </x:c>
      <x:c r="C24" s="20" t="n">
        <x:v>46218.479166666664</x:v>
      </x:c>
      <x:c r="D24" s="18" t="n">
        <x:v>100000000</x:v>
      </x:c>
      <x:c r="E24" s="14" t="str">
        <x:v>Cọc thành công</x:v>
      </x:c>
      <x:c r="F24" s="20" t="n">
        <x:v>46218.47083333333</x:v>
      </x:c>
      <x:c r="G24" s="14" t="str">
        <x:v>C5Z3-08-12A</x:v>
      </x:c>
      <x:c r="H24" s="14" t="str">
        <x:v>NV005</x:v>
      </x:c>
    </x:row>
    <x:row r="25" ht="20" customHeight="1">
      <x:c r="A25" s="14" t="str">
        <x:v>LL024</x:v>
      </x:c>
      <x:c r="B25" s="20" t="n">
        <x:v>46220.5</x:v>
      </x:c>
      <x:c r="C25" s="20" t="n">
        <x:v>46220.520833333336</x:v>
      </x:c>
      <x:c r="D25" s="18" t="n">
        <x:v>100000000</x:v>
      </x:c>
      <x:c r="E25" s="14" t="str">
        <x:v>Cọc thành công</x:v>
      </x:c>
      <x:c r="F25" s="20" t="n">
        <x:v>46220.5125</x:v>
      </x:c>
      <x:c r="G25" s="14" t="str">
        <x:v>C5L3-10-21</x:v>
      </x:c>
      <x:c r="H25" s="14" t="str">
        <x:v>NV006</x:v>
      </x:c>
    </x:row>
    <x:row r="26" ht="20" customHeight="1">
      <x:c r="A26" s="14" t="str">
        <x:v>LL025</x:v>
      </x:c>
      <x:c r="B26" s="20" t="n">
        <x:v>46218.375</x:v>
      </x:c>
      <x:c r="C26" s="20" t="n">
        <x:v>46218.395833333336</x:v>
      </x:c>
      <x:c r="D26" s="18" t="n">
        <x:v>100000000</x:v>
      </x:c>
      <x:c r="E26" s="14" t="str">
        <x:v>Hết thời gian</x:v>
      </x:c>
      <x:c r="F26" s="20"/>
      <x:c r="G26" s="14" t="str">
        <x:v>V1.0506</x:v>
      </x:c>
      <x:c r="H26" s="14" t="str">
        <x:v>NV001</x:v>
      </x:c>
    </x:row>
    <x:row r="27" ht="20" customHeight="1">
      <x:c r="A27" s="14" t="str">
        <x:v>LL026</x:v>
      </x:c>
      <x:c r="B27" s="20" t="n">
        <x:v>46219.38888888889</x:v>
      </x:c>
      <x:c r="C27" s="20" t="n">
        <x:v>46219.40972222222</x:v>
      </x:c>
      <x:c r="D27" s="18" t="n">
        <x:v>100000000</x:v>
      </x:c>
      <x:c r="E27" s="14" t="str">
        <x:v>Khách hủy</x:v>
      </x:c>
      <x:c r="F27" s="20"/>
      <x:c r="G27" s="14" t="str">
        <x:v>V2.0505</x:v>
      </x:c>
      <x:c r="H27" s="14" t="str">
        <x:v>NV002</x:v>
      </x:c>
    </x:row>
    <x:row r="28" ht="20" customHeight="1">
      <x:c r="A28" s="14" t="str">
        <x:v>LL027</x:v>
      </x:c>
      <x:c r="B28" s="20" t="n">
        <x:v>46220.40277777778</x:v>
      </x:c>
      <x:c r="C28" s="20" t="n">
        <x:v>46220.42361111111</x:v>
      </x:c>
      <x:c r="D28" s="18" t="n">
        <x:v>100000000</x:v>
      </x:c>
      <x:c r="E28" s="14" t="str">
        <x:v>Hết thời gian</x:v>
      </x:c>
      <x:c r="F28" s="20"/>
      <x:c r="G28" s="14" t="str">
        <x:v>V2.1912</x:v>
      </x:c>
      <x:c r="H28" s="14" t="str">
        <x:v>NV003</x:v>
      </x:c>
    </x:row>
    <x:row r="29" ht="20" customHeight="1">
      <x:c r="A29" s="14" t="str">
        <x:v>LL028</x:v>
      </x:c>
      <x:c r="B29" s="20" t="n">
        <x:v>46221.416666666664</x:v>
      </x:c>
      <x:c r="C29" s="20" t="n">
        <x:v>46221.4375</x:v>
      </x:c>
      <x:c r="D29" s="18" t="n">
        <x:v>500000000</x:v>
      </x:c>
      <x:c r="E29" s="14" t="str">
        <x:v>Khách hủy</x:v>
      </x:c>
      <x:c r="F29" s="20"/>
      <x:c r="G29" s="14" t="str">
        <x:v>TT4-8</x:v>
      </x:c>
      <x:c r="H29" s="14" t="str">
        <x:v>NV004</x:v>
      </x:c>
    </x:row>
    <x:row r="30" ht="20" customHeight="1">
      <x:c r="A30" s="14" t="str">
        <x:v>LL029</x:v>
      </x:c>
      <x:c r="B30" s="20" t="n">
        <x:v>46222.375</x:v>
      </x:c>
      <x:c r="C30" s="20" t="n">
        <x:v>46222.395833333336</x:v>
      </x:c>
      <x:c r="D30" s="18" t="n">
        <x:v>500000000</x:v>
      </x:c>
      <x:c r="E30" s="14" t="str">
        <x:v>Hết thời gian</x:v>
      </x:c>
      <x:c r="F30" s="20"/>
      <x:c r="G30" s="14" t="str">
        <x:v>TT4-24</x:v>
      </x:c>
      <x:c r="H30" s="14" t="str">
        <x:v>NV005</x:v>
      </x:c>
    </x:row>
    <x:row r="31" ht="20" customHeight="1">
      <x:c r="A31" s="14" t="str">
        <x:v>LL030</x:v>
      </x:c>
      <x:c r="B31" s="20" t="n">
        <x:v>46223.38888888889</x:v>
      </x:c>
      <x:c r="C31" s="20" t="n">
        <x:v>46223.40972222222</x:v>
      </x:c>
      <x:c r="D31" s="18" t="n">
        <x:v>500000000</x:v>
      </x:c>
      <x:c r="E31" s="14" t="str">
        <x:v>Khách hủy</x:v>
      </x:c>
      <x:c r="F31" s="20"/>
      <x:c r="G31" s="14" t="str">
        <x:v>TT5-7</x:v>
      </x:c>
      <x:c r="H31" s="14" t="str">
        <x:v>NV006</x:v>
      </x:c>
    </x:row>
    <x:row r="32" ht="20" customHeight="1">
      <x:c r="A32" s="14" t="str">
        <x:v>LL031</x:v>
      </x:c>
      <x:c r="B32" s="20" t="n">
        <x:v>46224.40277777778</x:v>
      </x:c>
      <x:c r="C32" s="20" t="n">
        <x:v>46224.42361111111</x:v>
      </x:c>
      <x:c r="D32" s="18" t="n">
        <x:v>500000000</x:v>
      </x:c>
      <x:c r="E32" s="14" t="str">
        <x:v>Hết thời gian</x:v>
      </x:c>
      <x:c r="F32" s="20"/>
      <x:c r="G32" s="14" t="str">
        <x:v>TT7-1</x:v>
      </x:c>
      <x:c r="H32" s="14" t="str">
        <x:v>NV001</x:v>
      </x:c>
    </x:row>
    <x:row r="33" ht="20" customHeight="1">
      <x:c r="A33" s="14" t="str">
        <x:v>LL032</x:v>
      </x:c>
      <x:c r="B33" s="20" t="n">
        <x:v>46225.416666666664</x:v>
      </x:c>
      <x:c r="C33" s="20" t="n">
        <x:v>46225.4375</x:v>
      </x:c>
      <x:c r="D33" s="18" t="n">
        <x:v>500000000</x:v>
      </x:c>
      <x:c r="E33" s="14" t="str">
        <x:v>Khách hủy</x:v>
      </x:c>
      <x:c r="F33" s="20"/>
      <x:c r="G33" s="14" t="str">
        <x:v>TT9-2</x:v>
      </x:c>
      <x:c r="H33" s="14" t="str">
        <x:v>NV002</x:v>
      </x:c>
    </x:row>
    <x:row r="34" ht="20" customHeight="1">
      <x:c r="A34" s="14" t="str">
        <x:v>LL033</x:v>
      </x:c>
      <x:c r="B34" s="20" t="n">
        <x:v>46226.375</x:v>
      </x:c>
      <x:c r="C34" s="20" t="n">
        <x:v>46226.395833333336</x:v>
      </x:c>
      <x:c r="D34" s="18" t="n">
        <x:v>100000000</x:v>
      </x:c>
      <x:c r="E34" s="14" t="str">
        <x:v>Hết thời gian</x:v>
      </x:c>
      <x:c r="F34" s="20"/>
      <x:c r="G34" s="14" t="str">
        <x:v>HH-A-36-19</x:v>
      </x:c>
      <x:c r="H34" s="14" t="str">
        <x:v>NV003</x:v>
      </x:c>
    </x:row>
    <x:row r="35" ht="20" customHeight="1">
      <x:c r="A35" s="14" t="str">
        <x:v>LL034</x:v>
      </x:c>
      <x:c r="B35" s="20" t="n">
        <x:v>46227.38888888889</x:v>
      </x:c>
      <x:c r="C35" s="20" t="n">
        <x:v>46227.40972222222</x:v>
      </x:c>
      <x:c r="D35" s="18" t="n">
        <x:v>100000000</x:v>
      </x:c>
      <x:c r="E35" s="14" t="str">
        <x:v>Khách hủy</x:v>
      </x:c>
      <x:c r="F35" s="20"/>
      <x:c r="G35" s="14" t="str">
        <x:v>HH-A-09-23</x:v>
      </x:c>
      <x:c r="H35" s="14" t="str">
        <x:v>NV004</x:v>
      </x:c>
    </x:row>
    <x:row r="36" ht="20" customHeight="1">
      <x:c r="A36" s="14" t="str">
        <x:v>LL035</x:v>
      </x:c>
      <x:c r="B36" s="20" t="n">
        <x:v>46228.40277777778</x:v>
      </x:c>
      <x:c r="C36" s="20" t="n">
        <x:v>46228.42361111111</x:v>
      </x:c>
      <x:c r="D36" s="18" t="n">
        <x:v>100000000</x:v>
      </x:c>
      <x:c r="E36" s="14" t="str">
        <x:v>Hết thời gian</x:v>
      </x:c>
      <x:c r="F36" s="20"/>
      <x:c r="G36" s="14" t="str">
        <x:v>HH-B-30-12</x:v>
      </x:c>
      <x:c r="H36" s="14" t="str">
        <x:v>NV005</x:v>
      </x:c>
    </x:row>
    <x:row r="37" ht="20" customHeight="1">
      <x:c r="A37" s="14" t="str">
        <x:v>LL036</x:v>
      </x:c>
      <x:c r="B37" s="20" t="n">
        <x:v>46229.416666666664</x:v>
      </x:c>
      <x:c r="C37" s="20" t="n">
        <x:v>46229.4375</x:v>
      </x:c>
      <x:c r="D37" s="18" t="n">
        <x:v>100000000</x:v>
      </x:c>
      <x:c r="E37" s="14" t="str">
        <x:v>Khách hủy</x:v>
      </x:c>
      <x:c r="F37" s="20"/>
      <x:c r="G37" s="14" t="str">
        <x:v>HH-B-42-20</x:v>
      </x:c>
      <x:c r="H37" s="14" t="str">
        <x:v>NV006</x:v>
      </x:c>
    </x:row>
    <x:row r="38" ht="20" customHeight="1">
      <x:c r="A38" s="14" t="str">
        <x:v>LL037</x:v>
      </x:c>
      <x:c r="B38" s="20" t="n">
        <x:v>46230.375</x:v>
      </x:c>
      <x:c r="C38" s="20" t="n">
        <x:v>46230.395833333336</x:v>
      </x:c>
      <x:c r="D38" s="18" t="n">
        <x:v>100000000</x:v>
      </x:c>
      <x:c r="E38" s="14" t="str">
        <x:v>Hết thời gian</x:v>
      </x:c>
      <x:c r="F38" s="20"/>
      <x:c r="G38" s="14" t="str">
        <x:v>HH-B-39-18A</x:v>
      </x:c>
      <x:c r="H38" s="14" t="str">
        <x:v>NV001</x:v>
      </x:c>
    </x:row>
    <x:row r="39" ht="20" customHeight="1">
      <x:c r="A39" s="14" t="str">
        <x:v>LL038</x:v>
      </x:c>
      <x:c r="B39" s="20" t="n">
        <x:v>46231.38888888889</x:v>
      </x:c>
      <x:c r="C39" s="20" t="n">
        <x:v>46231.40972222222</x:v>
      </x:c>
      <x:c r="D39" s="18" t="n">
        <x:v>100000000</x:v>
      </x:c>
      <x:c r="E39" s="14" t="str">
        <x:v>Khách hủy</x:v>
      </x:c>
      <x:c r="F39" s="20"/>
      <x:c r="G39" s="14" t="str">
        <x:v>C5L2-23-15A</x:v>
      </x:c>
      <x:c r="H39" s="14" t="str">
        <x:v>NV002</x:v>
      </x:c>
    </x:row>
    <x:row r="40" ht="20" customHeight="1">
      <x:c r="A40" s="14" t="str">
        <x:v>LL039</x:v>
      </x:c>
      <x:c r="B40" s="20" t="n">
        <x:v>46232.40277777778</x:v>
      </x:c>
      <x:c r="C40" s="20" t="n">
        <x:v>46232.42361111111</x:v>
      </x:c>
      <x:c r="D40" s="18" t="n">
        <x:v>100000000</x:v>
      </x:c>
      <x:c r="E40" s="14" t="str">
        <x:v>Hết thời gian</x:v>
      </x:c>
      <x:c r="F40" s="20"/>
      <x:c r="G40" s="14" t="str">
        <x:v>C5L2-23-15</x:v>
      </x:c>
      <x:c r="H40" s="14" t="str">
        <x:v>NV003</x:v>
      </x:c>
    </x:row>
    <x:row r="41" ht="20" customHeight="1">
      <x:c r="A41" s="14" t="str">
        <x:v>LL040</x:v>
      </x:c>
      <x:c r="B41" s="20" t="n">
        <x:v>46233.416666666664</x:v>
      </x:c>
      <x:c r="C41" s="20" t="n">
        <x:v>46233.4375</x:v>
      </x:c>
      <x:c r="D41" s="18" t="n">
        <x:v>100000000</x:v>
      </x:c>
      <x:c r="E41" s="14" t="str">
        <x:v>Khách hủy</x:v>
      </x:c>
      <x:c r="F41" s="20"/>
      <x:c r="G41" s="14" t="str">
        <x:v>C5L3-10-12A</x:v>
      </x:c>
      <x:c r="H41" s="14" t="str">
        <x:v>NV004</x:v>
      </x:c>
    </x:row>
    <x:row r="42" ht="20" customHeight="1">
      <x:c r="A42" s="14" t="str">
        <x:v>LL041</x:v>
      </x:c>
      <x:c r="B42" s="20" t="n">
        <x:v>46027.302083333336</x:v>
      </x:c>
      <x:c r="C42" s="20" t="n">
        <x:v>46027.322916666664</x:v>
      </x:c>
      <x:c r="D42" s="18" t="n">
        <x:v>100000000</x:v>
      </x:c>
      <x:c r="E42" s="14" t="str">
        <x:v>Cọc thành công</x:v>
      </x:c>
      <x:c r="F42" s="20" t="n">
        <x:v>46027.31041666667</x:v>
      </x:c>
      <x:c r="G42" s="14" t="str">
        <x:v>V1.0506</x:v>
      </x:c>
      <x:c r="H42" s="14" t="str">
        <x:v>NV001</x:v>
      </x:c>
    </x:row>
    <x:row r="43" ht="20" customHeight="1">
      <x:c r="A43" s="14" t="str">
        <x:v>LL042</x:v>
      </x:c>
      <x:c r="B43" s="20" t="n">
        <x:v>46031.354166666664</x:v>
      </x:c>
      <x:c r="C43" s="20" t="n">
        <x:v>46031.375</x:v>
      </x:c>
      <x:c r="D43" s="18" t="n">
        <x:v>200000000</x:v>
      </x:c>
      <x:c r="E43" s="14" t="str">
        <x:v>Cọc thành công</x:v>
      </x:c>
      <x:c r="F43" s="20" t="n">
        <x:v>46031.36319444444</x:v>
      </x:c>
      <x:c r="G43" s="14" t="str">
        <x:v>TT4-3</x:v>
      </x:c>
      <x:c r="H43" s="14" t="str">
        <x:v>NV002</x:v>
      </x:c>
    </x:row>
    <x:row r="44" ht="20" customHeight="1">
      <x:c r="A44" s="14" t="str">
        <x:v>LL043</x:v>
      </x:c>
      <x:c r="B44" s="20" t="n">
        <x:v>46035.375</x:v>
      </x:c>
      <x:c r="C44" s="20" t="n">
        <x:v>46035.395833333336</x:v>
      </x:c>
      <x:c r="D44" s="18" t="n">
        <x:v>200000000</x:v>
      </x:c>
      <x:c r="E44" s="14" t="str">
        <x:v>Cọc thành công</x:v>
      </x:c>
      <x:c r="F44" s="20" t="n">
        <x:v>46035.384722222225</x:v>
      </x:c>
      <x:c r="G44" s="14" t="str">
        <x:v>TT4-4</x:v>
      </x:c>
      <x:c r="H44" s="14" t="str">
        <x:v>NV003</x:v>
      </x:c>
    </x:row>
    <x:row r="45" ht="20" customHeight="1">
      <x:c r="A45" s="14" t="str">
        <x:v>LL044</x:v>
      </x:c>
      <x:c r="B45" s="20" t="n">
        <x:v>46041.5</x:v>
      </x:c>
      <x:c r="C45" s="20" t="n">
        <x:v>46041.520833333336</x:v>
      </x:c>
      <x:c r="D45" s="18" t="n">
        <x:v>100000000</x:v>
      </x:c>
      <x:c r="E45" s="14" t="str">
        <x:v>Cọc thành công</x:v>
      </x:c>
      <x:c r="F45" s="20" t="n">
        <x:v>46041.510416666664</x:v>
      </x:c>
      <x:c r="G45" s="14" t="str">
        <x:v>V1.0520</x:v>
      </x:c>
      <x:c r="H45" s="14" t="str">
        <x:v>NV004</x:v>
      </x:c>
    </x:row>
    <x:row r="46" ht="20" customHeight="1">
      <x:c r="A46" s="14" t="str">
        <x:v>LL045</x:v>
      </x:c>
      <x:c r="B46" s="20" t="n">
        <x:v>46045.5625</x:v>
      </x:c>
      <x:c r="C46" s="20" t="n">
        <x:v>46045.583333333336</x:v>
      </x:c>
      <x:c r="D46" s="18" t="n">
        <x:v>200000000</x:v>
      </x:c>
      <x:c r="E46" s="14" t="str">
        <x:v>Cọc thành công</x:v>
      </x:c>
      <x:c r="F46" s="20" t="n">
        <x:v>46045.57361111111</x:v>
      </x:c>
      <x:c r="G46" s="14" t="str">
        <x:v>TT4-5</x:v>
      </x:c>
      <x:c r="H46" s="14" t="str">
        <x:v>NV005</x:v>
      </x:c>
    </x:row>
    <x:row r="47" ht="20" customHeight="1">
      <x:c r="A47" s="14" t="str">
        <x:v>LL046</x:v>
      </x:c>
      <x:c r="B47" s="20" t="n">
        <x:v>46049.59375</x:v>
      </x:c>
      <x:c r="C47" s="20" t="n">
        <x:v>46049.614583333336</x:v>
      </x:c>
      <x:c r="D47" s="18" t="n">
        <x:v>200000000</x:v>
      </x:c>
      <x:c r="E47" s="14" t="str">
        <x:v>Cọc thành công</x:v>
      </x:c>
      <x:c r="F47" s="20" t="n">
        <x:v>46049.60555555556</x:v>
      </x:c>
      <x:c r="G47" s="14" t="str">
        <x:v>TT4-6</x:v>
      </x:c>
      <x:c r="H47" s="14" t="str">
        <x:v>NV006</x:v>
      </x:c>
    </x:row>
    <x:row r="48" ht="20" customHeight="1">
      <x:c r="A48" s="14" t="str">
        <x:v>LL047</x:v>
      </x:c>
      <x:c r="B48" s="20" t="n">
        <x:v>46058.302083333336</x:v>
      </x:c>
      <x:c r="C48" s="20" t="n">
        <x:v>46058.322916666664</x:v>
      </x:c>
      <x:c r="D48" s="18" t="n">
        <x:v>100000000</x:v>
      </x:c>
      <x:c r="E48" s="14" t="str">
        <x:v>Cọc thành công</x:v>
      </x:c>
      <x:c r="F48" s="20" t="n">
        <x:v>46058.31458333333</x:v>
      </x:c>
      <x:c r="G48" s="14" t="str">
        <x:v>V1.0720</x:v>
      </x:c>
      <x:c r="H48" s="14" t="str">
        <x:v>NV011</x:v>
      </x:c>
    </x:row>
    <x:row r="49" ht="20" customHeight="1">
      <x:c r="A49" s="14" t="str">
        <x:v>LL048</x:v>
      </x:c>
      <x:c r="B49" s="20" t="n">
        <x:v>46062.354166666664</x:v>
      </x:c>
      <x:c r="C49" s="20" t="n">
        <x:v>46062.375</x:v>
      </x:c>
      <x:c r="D49" s="18" t="n">
        <x:v>200000000</x:v>
      </x:c>
      <x:c r="E49" s="14" t="str">
        <x:v>Cọc thành công</x:v>
      </x:c>
      <x:c r="F49" s="20" t="n">
        <x:v>46062.36736111111</x:v>
      </x:c>
      <x:c r="G49" s="14" t="str">
        <x:v>TT4-7</x:v>
      </x:c>
      <x:c r="H49" s="14" t="str">
        <x:v>NV012</x:v>
      </x:c>
    </x:row>
    <x:row r="50" ht="20" customHeight="1">
      <x:c r="A50" s="14" t="str">
        <x:v>LL049</x:v>
      </x:c>
      <x:c r="B50" s="20" t="n">
        <x:v>46066.375</x:v>
      </x:c>
      <x:c r="C50" s="20" t="n">
        <x:v>46066.395833333336</x:v>
      </x:c>
      <x:c r="D50" s="18" t="n">
        <x:v>200000000</x:v>
      </x:c>
      <x:c r="E50" s="14" t="str">
        <x:v>Cọc thành công</x:v>
      </x:c>
      <x:c r="F50" s="20" t="n">
        <x:v>46066.38888888889</x:v>
      </x:c>
      <x:c r="G50" s="14" t="str">
        <x:v>TT4-8</x:v>
      </x:c>
      <x:c r="H50" s="14" t="str">
        <x:v>NV013</x:v>
      </x:c>
    </x:row>
    <x:row r="51" ht="20" customHeight="1">
      <x:c r="A51" s="14" t="str">
        <x:v>LL050</x:v>
      </x:c>
      <x:c r="B51" s="20" t="n">
        <x:v>46071.5</x:v>
      </x:c>
      <x:c r="C51" s="20" t="n">
        <x:v>46071.520833333336</x:v>
      </x:c>
      <x:c r="D51" s="18" t="n">
        <x:v>100000000</x:v>
      </x:c>
      <x:c r="E51" s="14" t="str">
        <x:v>Cọc thành công</x:v>
      </x:c>
      <x:c r="F51" s="20" t="n">
        <x:v>46071.51458333333</x:v>
      </x:c>
      <x:c r="G51" s="14" t="str">
        <x:v>V1.0806</x:v>
      </x:c>
      <x:c r="H51" s="14" t="str">
        <x:v>NV001</x:v>
      </x:c>
    </x:row>
    <x:row r="52" ht="20" customHeight="1">
      <x:c r="A52" s="14" t="str">
        <x:v>LL051</x:v>
      </x:c>
      <x:c r="B52" s="20" t="n">
        <x:v>46076.5625</x:v>
      </x:c>
      <x:c r="C52" s="20" t="n">
        <x:v>46076.583333333336</x:v>
      </x:c>
      <x:c r="D52" s="18" t="n">
        <x:v>200000000</x:v>
      </x:c>
      <x:c r="E52" s="14" t="str">
        <x:v>Cọc thành công</x:v>
      </x:c>
      <x:c r="F52" s="20" t="n">
        <x:v>46076.57083333333</x:v>
      </x:c>
      <x:c r="G52" s="14" t="str">
        <x:v>TT4-9</x:v>
      </x:c>
      <x:c r="H52" s="14" t="str">
        <x:v>NV002</x:v>
      </x:c>
    </x:row>
    <x:row r="53" ht="20" customHeight="1">
      <x:c r="A53" s="14" t="str">
        <x:v>LL052</x:v>
      </x:c>
      <x:c r="B53" s="20" t="n">
        <x:v>46080.59375</x:v>
      </x:c>
      <x:c r="C53" s="20" t="n">
        <x:v>46080.614583333336</x:v>
      </x:c>
      <x:c r="D53" s="18" t="n">
        <x:v>200000000</x:v>
      </x:c>
      <x:c r="E53" s="14" t="str">
        <x:v>Cọc thành công</x:v>
      </x:c>
      <x:c r="F53" s="20" t="n">
        <x:v>46080.60277777778</x:v>
      </x:c>
      <x:c r="G53" s="14" t="str">
        <x:v>TT4-10</x:v>
      </x:c>
      <x:c r="H53" s="14" t="str">
        <x:v>NV003</x:v>
      </x:c>
    </x:row>
    <x:row r="54" ht="20" customHeight="1">
      <x:c r="A54" s="14" t="str">
        <x:v>LL053</x:v>
      </x:c>
      <x:c r="B54" s="20" t="n">
        <x:v>46086.302083333336</x:v>
      </x:c>
      <x:c r="C54" s="20" t="n">
        <x:v>46086.322916666664</x:v>
      </x:c>
      <x:c r="D54" s="18" t="n">
        <x:v>100000000</x:v>
      </x:c>
      <x:c r="E54" s="14" t="str">
        <x:v>Cọc thành công</x:v>
      </x:c>
      <x:c r="F54" s="20" t="n">
        <x:v>46086.31180555555</x:v>
      </x:c>
      <x:c r="G54" s="14" t="str">
        <x:v>V1.12A06</x:v>
      </x:c>
      <x:c r="H54" s="14" t="str">
        <x:v>NV004</x:v>
      </x:c>
    </x:row>
    <x:row r="55" ht="20" customHeight="1">
      <x:c r="A55" s="14" t="str">
        <x:v>LL054</x:v>
      </x:c>
      <x:c r="B55" s="20" t="n">
        <x:v>46090.354166666664</x:v>
      </x:c>
      <x:c r="C55" s="20" t="n">
        <x:v>46090.375</x:v>
      </x:c>
      <x:c r="D55" s="18" t="n">
        <x:v>200000000</x:v>
      </x:c>
      <x:c r="E55" s="14" t="str">
        <x:v>Cọc thành công</x:v>
      </x:c>
      <x:c r="F55" s="20" t="n">
        <x:v>46090.364583333336</x:v>
      </x:c>
      <x:c r="G55" s="14" t="str">
        <x:v>TT4-11</x:v>
      </x:c>
      <x:c r="H55" s="14" t="str">
        <x:v>NV005</x:v>
      </x:c>
    </x:row>
    <x:row r="56" ht="20" customHeight="1">
      <x:c r="A56" s="14" t="str">
        <x:v>LL055</x:v>
      </x:c>
      <x:c r="B56" s="20" t="n">
        <x:v>46094.375</x:v>
      </x:c>
      <x:c r="C56" s="20" t="n">
        <x:v>46094.395833333336</x:v>
      </x:c>
      <x:c r="D56" s="18" t="n">
        <x:v>200000000</x:v>
      </x:c>
      <x:c r="E56" s="14" t="str">
        <x:v>Cọc thành công</x:v>
      </x:c>
      <x:c r="F56" s="20" t="n">
        <x:v>46094.38611111111</x:v>
      </x:c>
      <x:c r="G56" s="14" t="str">
        <x:v>TT4-12</x:v>
      </x:c>
      <x:c r="H56" s="14" t="str">
        <x:v>NV006</x:v>
      </x:c>
    </x:row>
    <x:row r="57" ht="20" customHeight="1">
      <x:c r="A57" s="14" t="str">
        <x:v>LL056</x:v>
      </x:c>
      <x:c r="B57" s="20" t="n">
        <x:v>46099.5</x:v>
      </x:c>
      <x:c r="C57" s="20" t="n">
        <x:v>46099.520833333336</x:v>
      </x:c>
      <x:c r="D57" s="18" t="n">
        <x:v>100000000</x:v>
      </x:c>
      <x:c r="E57" s="14" t="str">
        <x:v>Cọc thành công</x:v>
      </x:c>
      <x:c r="F57" s="20" t="n">
        <x:v>46099.51180555556</x:v>
      </x:c>
      <x:c r="G57" s="14" t="str">
        <x:v>V1.1406</x:v>
      </x:c>
      <x:c r="H57" s="14" t="str">
        <x:v>NV011</x:v>
      </x:c>
    </x:row>
    <x:row r="58" ht="20" customHeight="1">
      <x:c r="A58" s="14" t="str">
        <x:v>LL057</x:v>
      </x:c>
      <x:c r="B58" s="20" t="n">
        <x:v>46104.5625</x:v>
      </x:c>
      <x:c r="C58" s="20" t="n">
        <x:v>46104.583333333336</x:v>
      </x:c>
      <x:c r="D58" s="18" t="n">
        <x:v>200000000</x:v>
      </x:c>
      <x:c r="E58" s="14" t="str">
        <x:v>Cọc thành công</x:v>
      </x:c>
      <x:c r="F58" s="20" t="n">
        <x:v>46104.575</x:v>
      </x:c>
      <x:c r="G58" s="14" t="str">
        <x:v>TT4-13</x:v>
      </x:c>
      <x:c r="H58" s="14" t="str">
        <x:v>NV012</x:v>
      </x:c>
    </x:row>
    <x:row r="59" ht="20" customHeight="1">
      <x:c r="A59" s="14" t="str">
        <x:v>LL058</x:v>
      </x:c>
      <x:c r="B59" s="20" t="n">
        <x:v>46108.59375</x:v>
      </x:c>
      <x:c r="C59" s="20" t="n">
        <x:v>46108.614583333336</x:v>
      </x:c>
      <x:c r="D59" s="18" t="n">
        <x:v>200000000</x:v>
      </x:c>
      <x:c r="E59" s="14" t="str">
        <x:v>Cọc thành công</x:v>
      </x:c>
      <x:c r="F59" s="20" t="n">
        <x:v>46108.606944444444</x:v>
      </x:c>
      <x:c r="G59" s="14" t="str">
        <x:v>TT4-14</x:v>
      </x:c>
      <x:c r="H59" s="14" t="str">
        <x:v>NV013</x:v>
      </x:c>
    </x:row>
    <x:row r="60" ht="20" customHeight="1">
      <x:c r="A60" s="14" t="str">
        <x:v>LL059</x:v>
      </x:c>
      <x:c r="B60" s="20" t="n">
        <x:v>46118.302083333336</x:v>
      </x:c>
      <x:c r="C60" s="20" t="n">
        <x:v>46118.322916666664</x:v>
      </x:c>
      <x:c r="D60" s="18" t="n">
        <x:v>100000000</x:v>
      </x:c>
      <x:c r="E60" s="14" t="str">
        <x:v>Cọc thành công</x:v>
      </x:c>
      <x:c r="F60" s="20" t="n">
        <x:v>46118.31597222222</x:v>
      </x:c>
      <x:c r="G60" s="14" t="str">
        <x:v>V1.1706</x:v>
      </x:c>
      <x:c r="H60" s="14" t="str">
        <x:v>NV001</x:v>
      </x:c>
    </x:row>
    <x:row r="61" ht="20" customHeight="1">
      <x:c r="A61" s="14" t="str">
        <x:v>LL060</x:v>
      </x:c>
      <x:c r="B61" s="20" t="n">
        <x:v>46121.354166666664</x:v>
      </x:c>
      <x:c r="C61" s="20" t="n">
        <x:v>46121.375</x:v>
      </x:c>
      <x:c r="D61" s="18" t="n">
        <x:v>200000000</x:v>
      </x:c>
      <x:c r="E61" s="14" t="str">
        <x:v>Cọc thành công</x:v>
      </x:c>
      <x:c r="F61" s="20" t="n">
        <x:v>46121.36875</x:v>
      </x:c>
      <x:c r="G61" s="14" t="str">
        <x:v>TT4-17</x:v>
      </x:c>
      <x:c r="H61" s="14" t="str">
        <x:v>NV002</x:v>
      </x:c>
    </x:row>
    <x:row r="62" ht="20" customHeight="1">
      <x:c r="A62" s="14" t="str">
        <x:v>LL061</x:v>
      </x:c>
      <x:c r="B62" s="20" t="n">
        <x:v>46125.375</x:v>
      </x:c>
      <x:c r="C62" s="20" t="n">
        <x:v>46125.395833333336</x:v>
      </x:c>
      <x:c r="D62" s="18" t="n">
        <x:v>200000000</x:v>
      </x:c>
      <x:c r="E62" s="14" t="str">
        <x:v>Cọc thành công</x:v>
      </x:c>
      <x:c r="F62" s="20" t="n">
        <x:v>46125.38333333333</x:v>
      </x:c>
      <x:c r="G62" s="14" t="str">
        <x:v>TT4-22</x:v>
      </x:c>
      <x:c r="H62" s="14" t="str">
        <x:v>NV003</x:v>
      </x:c>
    </x:row>
    <x:row r="63" ht="20" customHeight="1">
      <x:c r="A63" s="14" t="str">
        <x:v>LL062</x:v>
      </x:c>
      <x:c r="B63" s="20" t="n">
        <x:v>46130.5</x:v>
      </x:c>
      <x:c r="C63" s="20" t="n">
        <x:v>46130.520833333336</x:v>
      </x:c>
      <x:c r="D63" s="18" t="n">
        <x:v>100000000</x:v>
      </x:c>
      <x:c r="E63" s="14" t="str">
        <x:v>Cọc thành công</x:v>
      </x:c>
      <x:c r="F63" s="20" t="n">
        <x:v>46130.50902777778</x:v>
      </x:c>
      <x:c r="G63" s="14" t="str">
        <x:v>V1.2406</x:v>
      </x:c>
      <x:c r="H63" s="14" t="str">
        <x:v>NV004</x:v>
      </x:c>
    </x:row>
    <x:row r="64" ht="20" customHeight="1">
      <x:c r="A64" s="14" t="str">
        <x:v>LL063</x:v>
      </x:c>
      <x:c r="B64" s="20" t="n">
        <x:v>46135.5625</x:v>
      </x:c>
      <x:c r="C64" s="20" t="n">
        <x:v>46135.583333333336</x:v>
      </x:c>
      <x:c r="D64" s="18" t="n">
        <x:v>200000000</x:v>
      </x:c>
      <x:c r="E64" s="14" t="str">
        <x:v>Cọc thành công</x:v>
      </x:c>
      <x:c r="F64" s="20" t="n">
        <x:v>46135.572222222225</x:v>
      </x:c>
      <x:c r="G64" s="14" t="str">
        <x:v>TT4-23</x:v>
      </x:c>
      <x:c r="H64" s="14" t="str">
        <x:v>NV005</x:v>
      </x:c>
    </x:row>
    <x:row r="65" ht="20" customHeight="1">
      <x:c r="A65" s="14" t="str">
        <x:v>LL064</x:v>
      </x:c>
      <x:c r="B65" s="20" t="n">
        <x:v>46139.59375</x:v>
      </x:c>
      <x:c r="C65" s="20" t="n">
        <x:v>46139.614583333336</x:v>
      </x:c>
      <x:c r="D65" s="18" t="n">
        <x:v>200000000</x:v>
      </x:c>
      <x:c r="E65" s="14" t="str">
        <x:v>Cọc thành công</x:v>
      </x:c>
      <x:c r="F65" s="20" t="n">
        <x:v>46139.604166666664</x:v>
      </x:c>
      <x:c r="G65" s="14" t="str">
        <x:v>TT4-24</x:v>
      </x:c>
      <x:c r="H65" s="14" t="str">
        <x:v>NV006</x:v>
      </x:c>
    </x:row>
    <x:row r="66" ht="20" customHeight="1">
      <x:c r="A66" s="14" t="str">
        <x:v>LL065</x:v>
      </x:c>
      <x:c r="B66" s="20" t="n">
        <x:v>46147.302083333336</x:v>
      </x:c>
      <x:c r="C66" s="20" t="n">
        <x:v>46147.322916666664</x:v>
      </x:c>
      <x:c r="D66" s="18" t="n">
        <x:v>100000000</x:v>
      </x:c>
      <x:c r="E66" s="14" t="str">
        <x:v>Cọc thành công</x:v>
      </x:c>
      <x:c r="F66" s="20" t="n">
        <x:v>46147.31319444445</x:v>
      </x:c>
      <x:c r="G66" s="14" t="str">
        <x:v>V1.2301</x:v>
      </x:c>
      <x:c r="H66" s="14" t="str">
        <x:v>NV011</x:v>
      </x:c>
    </x:row>
    <x:row r="67" ht="20" customHeight="1">
      <x:c r="A67" s="14" t="str">
        <x:v>LL066</x:v>
      </x:c>
      <x:c r="B67" s="20" t="n">
        <x:v>46151.354166666664</x:v>
      </x:c>
      <x:c r="C67" s="20" t="n">
        <x:v>46151.375</x:v>
      </x:c>
      <x:c r="D67" s="18" t="n">
        <x:v>200000000</x:v>
      </x:c>
      <x:c r="E67" s="14" t="str">
        <x:v>Cọc thành công</x:v>
      </x:c>
      <x:c r="F67" s="20" t="n">
        <x:v>46151.36597222222</x:v>
      </x:c>
      <x:c r="G67" s="14" t="str">
        <x:v>TT4-25</x:v>
      </x:c>
      <x:c r="H67" s="14" t="str">
        <x:v>NV012</x:v>
      </x:c>
    </x:row>
    <x:row r="68" ht="20" customHeight="1">
      <x:c r="A68" s="14" t="str">
        <x:v>LL067</x:v>
      </x:c>
      <x:c r="B68" s="20" t="n">
        <x:v>46155.375</x:v>
      </x:c>
      <x:c r="C68" s="20" t="n">
        <x:v>46155.395833333336</x:v>
      </x:c>
      <x:c r="D68" s="18" t="n">
        <x:v>200000000</x:v>
      </x:c>
      <x:c r="E68" s="14" t="str">
        <x:v>Cọc thành công</x:v>
      </x:c>
      <x:c r="F68" s="20" t="n">
        <x:v>46155.3875</x:v>
      </x:c>
      <x:c r="G68" s="14" t="str">
        <x:v>TT4-26</x:v>
      </x:c>
      <x:c r="H68" s="14" t="str">
        <x:v>NV013</x:v>
      </x:c>
    </x:row>
    <x:row r="69" ht="20" customHeight="1">
      <x:c r="A69" s="14" t="str">
        <x:v>LL068</x:v>
      </x:c>
      <x:c r="B69" s="20" t="n">
        <x:v>46160.5</x:v>
      </x:c>
      <x:c r="C69" s="20" t="n">
        <x:v>46160.520833333336</x:v>
      </x:c>
      <x:c r="D69" s="18" t="n">
        <x:v>100000000</x:v>
      </x:c>
      <x:c r="E69" s="14" t="str">
        <x:v>Cọc thành công</x:v>
      </x:c>
      <x:c r="F69" s="20" t="n">
        <x:v>46160.513194444444</x:v>
      </x:c>
      <x:c r="G69" s="14" t="str">
        <x:v>V2.0504</x:v>
      </x:c>
      <x:c r="H69" s="14" t="str">
        <x:v>NV001</x:v>
      </x:c>
    </x:row>
    <x:row r="70" ht="20" customHeight="1">
      <x:c r="A70" s="14" t="str">
        <x:v>LL069</x:v>
      </x:c>
      <x:c r="B70" s="20" t="n">
        <x:v>46165.5625</x:v>
      </x:c>
      <x:c r="C70" s="20" t="n">
        <x:v>46165.583333333336</x:v>
      </x:c>
      <x:c r="D70" s="18" t="n">
        <x:v>200000000</x:v>
      </x:c>
      <x:c r="E70" s="14" t="str">
        <x:v>Cọc thành công</x:v>
      </x:c>
      <x:c r="F70" s="20" t="n">
        <x:v>46165.57638888889</x:v>
      </x:c>
      <x:c r="G70" s="14" t="str">
        <x:v>TT4-27</x:v>
      </x:c>
      <x:c r="H70" s="14" t="str">
        <x:v>NV002</x:v>
      </x:c>
    </x:row>
    <x:row r="71" ht="20" customHeight="1">
      <x:c r="A71" s="14" t="str">
        <x:v>LL070</x:v>
      </x:c>
      <x:c r="B71" s="20" t="n">
        <x:v>46169.59375</x:v>
      </x:c>
      <x:c r="C71" s="20" t="n">
        <x:v>46169.614583333336</x:v>
      </x:c>
      <x:c r="D71" s="18" t="n">
        <x:v>200000000</x:v>
      </x:c>
      <x:c r="E71" s="14" t="str">
        <x:v>Cọc thành công</x:v>
      </x:c>
      <x:c r="F71" s="20" t="n">
        <x:v>46169.60833333333</x:v>
      </x:c>
      <x:c r="G71" s="14" t="str">
        <x:v>TT4-28</x:v>
      </x:c>
      <x:c r="H71" s="14" t="str">
        <x:v>NV003</x:v>
      </x:c>
    </x:row>
    <x:row r="72" ht="20" customHeight="1">
      <x:c r="A72" s="14" t="str">
        <x:v>LL071</x:v>
      </x:c>
      <x:c r="B72" s="20" t="n">
        <x:v>46239.302083333336</x:v>
      </x:c>
      <x:c r="C72" s="20" t="n">
        <x:v>46239.322916666664</x:v>
      </x:c>
      <x:c r="D72" s="18" t="n">
        <x:v>100000000</x:v>
      </x:c>
      <x:c r="E72" s="14" t="str">
        <x:v>Cọc thành công</x:v>
      </x:c>
      <x:c r="F72" s="20" t="n">
        <x:v>46239.31041666667</x:v>
      </x:c>
      <x:c r="G72" s="14" t="str">
        <x:v>V2.0505</x:v>
      </x:c>
      <x:c r="H72" s="14" t="str">
        <x:v>NV004</x:v>
      </x:c>
    </x:row>
    <x:row r="73" ht="20" customHeight="1">
      <x:c r="A73" s="14" t="str">
        <x:v>LL072</x:v>
      </x:c>
      <x:c r="B73" s="20" t="n">
        <x:v>46244.354166666664</x:v>
      </x:c>
      <x:c r="C73" s="20" t="n">
        <x:v>46244.375</x:v>
      </x:c>
      <x:c r="D73" s="18" t="n">
        <x:v>200000000</x:v>
      </x:c>
      <x:c r="E73" s="14" t="str">
        <x:v>Cọc thành công</x:v>
      </x:c>
      <x:c r="F73" s="20" t="n">
        <x:v>46244.36319444444</x:v>
      </x:c>
      <x:c r="G73" s="14" t="str">
        <x:v>TT5-2</x:v>
      </x:c>
      <x:c r="H73" s="14" t="str">
        <x:v>NV005</x:v>
      </x:c>
    </x:row>
    <x:row r="74" ht="20" customHeight="1">
      <x:c r="A74" s="14" t="str">
        <x:v>LL073</x:v>
      </x:c>
      <x:c r="B74" s="20" t="n">
        <x:v>46247.375</x:v>
      </x:c>
      <x:c r="C74" s="20" t="n">
        <x:v>46247.395833333336</x:v>
      </x:c>
      <x:c r="D74" s="18" t="n">
        <x:v>200000000</x:v>
      </x:c>
      <x:c r="E74" s="14" t="str">
        <x:v>Cọc thành công</x:v>
      </x:c>
      <x:c r="F74" s="20" t="n">
        <x:v>46247.384722222225</x:v>
      </x:c>
      <x:c r="G74" s="14" t="str">
        <x:v>TT5-3</x:v>
      </x:c>
      <x:c r="H74" s="14" t="str">
        <x:v>NV006</x:v>
      </x:c>
    </x:row>
    <x:row r="75" ht="20" customHeight="1">
      <x:c r="A75" s="14" t="str">
        <x:v>LL074</x:v>
      </x:c>
      <x:c r="B75" s="20" t="n">
        <x:v>46252.5</x:v>
      </x:c>
      <x:c r="C75" s="20" t="n">
        <x:v>46252.520833333336</x:v>
      </x:c>
      <x:c r="D75" s="18" t="n">
        <x:v>100000000</x:v>
      </x:c>
      <x:c r="E75" s="14" t="str">
        <x:v>Cọc thành công</x:v>
      </x:c>
      <x:c r="F75" s="20" t="n">
        <x:v>46252.510416666664</x:v>
      </x:c>
      <x:c r="G75" s="14" t="str">
        <x:v>V2.0601</x:v>
      </x:c>
      <x:c r="H75" s="14" t="str">
        <x:v>NV011</x:v>
      </x:c>
    </x:row>
    <x:row r="76" ht="20" customHeight="1">
      <x:c r="A76" s="14" t="str">
        <x:v>LL075</x:v>
      </x:c>
      <x:c r="B76" s="20" t="n">
        <x:v>46258.5625</x:v>
      </x:c>
      <x:c r="C76" s="20" t="n">
        <x:v>46258.583333333336</x:v>
      </x:c>
      <x:c r="D76" s="18" t="n">
        <x:v>200000000</x:v>
      </x:c>
      <x:c r="E76" s="14" t="str">
        <x:v>Cọc thành công</x:v>
      </x:c>
      <x:c r="F76" s="20" t="n">
        <x:v>46258.57361111111</x:v>
      </x:c>
      <x:c r="G76" s="14" t="str">
        <x:v>TT5-4</x:v>
      </x:c>
      <x:c r="H76" s="14" t="str">
        <x:v>NV012</x:v>
      </x:c>
    </x:row>
    <x:row r="77" ht="20" customHeight="1">
      <x:c r="A77" s="14" t="str">
        <x:v>LL076</x:v>
      </x:c>
      <x:c r="B77" s="20" t="n">
        <x:v>46261.59375</x:v>
      </x:c>
      <x:c r="C77" s="20" t="n">
        <x:v>46261.614583333336</x:v>
      </x:c>
      <x:c r="D77" s="18" t="n">
        <x:v>200000000</x:v>
      </x:c>
      <x:c r="E77" s="14" t="str">
        <x:v>Cọc thành công</x:v>
      </x:c>
      <x:c r="F77" s="20" t="n">
        <x:v>46261.60555555556</x:v>
      </x:c>
      <x:c r="G77" s="14" t="str">
        <x:v>TT5-5</x:v>
      </x:c>
      <x:c r="H77" s="14" t="str">
        <x:v>NV013</x:v>
      </x:c>
    </x:row>
  </x:sheetData>
  <x:pageMargins left="0.7" right="0.7" top="0.75" bottom="0.75" header="0.3" footer="0.3"/>
  <x:tableParts count="1">
    <x:tablePart xmlns:r="http://schemas.openxmlformats.org/officeDocument/2006/relationships" r:id="R7d839be71ba44bf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0" hidden="0" customWidth="1"/>
    <x:col min="5" max="5" width="24" hidden="0" customWidth="1"/>
    <x:col min="6" max="6" width="24" hidden="0" customWidth="1"/>
    <x:col min="7" max="7" width="22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16" hidden="0" customWidth="1"/>
    <x:col min="15" max="15" width="12" hidden="0" customWidth="1"/>
  </x:cols>
  <x:sheetData>
    <x:row r="1" ht="24" customHeight="1">
      <x:c r="A1" s="10" t="str">
        <x:v>MaHopDong</x:v>
      </x:c>
      <x:c r="B1" s="10" t="str">
        <x:v>SoDienThoaiKH</x:v>
      </x:c>
      <x:c r="C1" s="10" t="str">
        <x:v>CCCDKH</x:v>
      </x:c>
      <x:c r="D1" s="10" t="str">
        <x:v>EmailKH</x:v>
      </x:c>
      <x:c r="E1" s="10" t="str">
        <x:v>DiaChiKH</x:v>
      </x:c>
      <x:c r="F1" s="10" t="str">
        <x:v>HoTenKH</x:v>
      </x:c>
      <x:c r="G1" s="10" t="str">
        <x:v>PhuongThanhToan</x:v>
      </x:c>
      <x:c r="H1" s="10" t="str">
        <x:v>GiaHopDong</x:v>
      </x:c>
      <x:c r="I1" s="10" t="str">
        <x:v>ThoiGianKyHDMB</x:v>
      </x:c>
      <x:c r="J1" s="10" t="str">
        <x:v>TrangThaiHDMB</x:v>
      </x:c>
      <x:c r="K1" s="22" t="str">
        <x:v>DoanhThu</x:v>
      </x:c>
      <x:c r="L1" s="22" t="str">
        <x:v>HoaHong</x:v>
      </x:c>
      <x:c r="M1" s="10" t="str">
        <x:v>GhiChu</x:v>
      </x:c>
      <x:c r="N1" s="10" t="str">
        <x:v>MaCan</x:v>
      </x:c>
      <x:c r="O1" s="10" t="str">
        <x:v>MaNV</x:v>
      </x:c>
    </x:row>
    <x:row r="2" ht="20" customHeight="1">
      <x:c r="A2" s="14" t="str">
        <x:v>HĐV1.0515</x:v>
      </x:c>
      <x:c r="B2" s="16" t="str">
        <x:v>0321634260</x:v>
      </x:c>
      <x:c r="C2" s="16" t="str">
        <x:v>036092836256</x:v>
      </x:c>
      <x:c r="D2" s="14" t="str">
        <x:v>nguyenvanhung01@gmail.com</x:v>
      </x:c>
      <x:c r="E2" s="14" t="str">
        <x:v>Cầu Giấy, Hà Nội</x:v>
      </x:c>
      <x:c r="F2" s="14" t="str">
        <x:v>Nguyễn Văn Hưng</x:v>
      </x:c>
      <x:c r="G2" s="14" t="str">
        <x:v>Thanh toán tiến độ</x:v>
      </x:c>
      <x:c r="H2" s="18" t="n">
        <x:v>8809218222</x:v>
      </x:c>
      <x:c r="I2" s="20" t="n">
        <x:v>46178.416666666664</x:v>
      </x:c>
      <x:c r="J2" s="14" t="str">
        <x:v>Đã ký</x:v>
      </x:c>
      <x:c r="K2" s="18" t="n">
        <x:v>438892000</x:v>
      </x:c>
      <x:c r="L2" s="18" t="n">
        <x:v>175418000</x:v>
      </x:c>
      <x:c r="M2" s="14" t="str">
        <x:v>Khách mua để ở, ưu tiên căn nhiều ánh sáng</x:v>
      </x:c>
      <x:c r="N2" s="14" t="str">
        <x:v>V1.0515</x:v>
      </x:c>
      <x:c r="O2" s="14" t="str">
        <x:v>NV001</x:v>
      </x:c>
    </x:row>
    <x:row r="3" ht="20" customHeight="1">
      <x:c r="A3" s="14" t="str">
        <x:v>HĐV1.0620</x:v>
      </x:c>
      <x:c r="B3" s="16" t="str">
        <x:v>0389867750</x:v>
      </x:c>
      <x:c r="C3" s="16" t="str">
        <x:v>002080555539</x:v>
      </x:c>
      <x:c r="D3" s="14" t="str">
        <x:v>tranngocmai02@gmail.com</x:v>
      </x:c>
      <x:c r="E3" s="14" t="str">
        <x:v>Thanh Xuân, Hà Nội</x:v>
      </x:c>
      <x:c r="F3" s="14" t="str">
        <x:v>Trần Ngọc Mai</x:v>
      </x:c>
      <x:c r="G3" s="14" t="str">
        <x:v>Thanh toán sớm</x:v>
      </x:c>
      <x:c r="H3" s="18" t="n">
        <x:v>7827376545</x:v>
      </x:c>
      <x:c r="I3" s="20" t="n">
        <x:v>46180.416666666664</x:v>
      </x:c>
      <x:c r="J3" s="14" t="str">
        <x:v>Đã ký</x:v>
      </x:c>
      <x:c r="K3" s="18" t="n">
        <x:v>490154000</x:v>
      </x:c>
      <x:c r="L3" s="18" t="n">
        <x:v>168727000</x:v>
      </x:c>
      <x:c r="M3" s="14" t="str">
        <x:v>Khách đầu tư dài hạn, quan tâm tiềm năng tăng giá</x:v>
      </x:c>
      <x:c r="N3" s="14" t="str">
        <x:v>V1.0620</x:v>
      </x:c>
      <x:c r="O3" s="14" t="str">
        <x:v>NV002</x:v>
      </x:c>
    </x:row>
    <x:row r="4" ht="20" customHeight="1">
      <x:c r="A4" s="14" t="str">
        <x:v>HĐV1.1401</x:v>
      </x:c>
      <x:c r="B4" s="16" t="str">
        <x:v>0960896081</x:v>
      </x:c>
      <x:c r="C4" s="16" t="str">
        <x:v>030085582302</x:v>
      </x:c>
      <x:c r="D4" s="14" t="str">
        <x:v>leminhtuan03@gmail.com</x:v>
      </x:c>
      <x:c r="E4" s="14" t="str">
        <x:v>Nam Từ Liêm, Hà Nội</x:v>
      </x:c>
      <x:c r="F4" s="14" t="str">
        <x:v>Lê Minh Tuấn</x:v>
      </x:c>
      <x:c r="G4" s="14" t="str">
        <x:v>Vay HTLS</x:v>
      </x:c>
      <x:c r="H4" s="18" t="n">
        <x:v>8713247611</x:v>
      </x:c>
      <x:c r="I4" s="20" t="n">
        <x:v>46182.416666666664</x:v>
      </x:c>
      <x:c r="J4" s="14" t="str">
        <x:v>Đã ký</x:v>
      </x:c>
      <x:c r="K4" s="18" t="n">
        <x:v>430259000</x:v>
      </x:c>
      <x:c r="L4" s="18" t="n">
        <x:v>183521000</x:v>
      </x:c>
      <x:c r="M4" s="14" t="str">
        <x:v>Ưu tiên phương án thanh toán sớm</x:v>
      </x:c>
      <x:c r="N4" s="14" t="str">
        <x:v>V1.1401</x:v>
      </x:c>
      <x:c r="O4" s="14" t="str">
        <x:v>NV003</x:v>
      </x:c>
    </x:row>
    <x:row r="5" ht="20" customHeight="1">
      <x:c r="A5" s="14" t="str">
        <x:v>HĐV1.1420</x:v>
      </x:c>
      <x:c r="B5" s="16" t="str">
        <x:v>0389284281</x:v>
      </x:c>
      <x:c r="C5" s="16" t="str">
        <x:v>002086240941</x:v>
      </x:c>
      <x:c r="D5" s="14" t="str">
        <x:v>phamthutrang04@gmail.com</x:v>
      </x:c>
      <x:c r="E5" s="14" t="str">
        <x:v>Hà Đông, Hà Nội</x:v>
      </x:c>
      <x:c r="F5" s="14" t="str">
        <x:v>Phạm Thu Trang</x:v>
      </x:c>
      <x:c r="G5" s="14" t="str">
        <x:v>Thanh toán tiến độ</x:v>
      </x:c>
      <x:c r="H5" s="18" t="n">
        <x:v>8624336921</x:v>
      </x:c>
      <x:c r="I5" s="20" t="n">
        <x:v>46184.416666666664</x:v>
      </x:c>
      <x:c r="J5" s="14" t="str">
        <x:v>Đã ký</x:v>
      </x:c>
      <x:c r="K5" s="18" t="n">
        <x:v>446453000</x:v>
      </x:c>
      <x:c r="L5" s="18" t="n">
        <x:v>171786000</x:v>
      </x:c>
      <x:c r="M5" s="14" t="str">
        <x:v>Khách cần hỗ trợ vay ngân hàng</x:v>
      </x:c>
      <x:c r="N5" s="14" t="str">
        <x:v>V1.1420</x:v>
      </x:c>
      <x:c r="O5" s="14" t="str">
        <x:v>NV004</x:v>
      </x:c>
    </x:row>
    <x:row r="6" ht="20" customHeight="1">
      <x:c r="A6" s="14" t="str">
        <x:v>HĐV1.1701</x:v>
      </x:c>
      <x:c r="B6" s="16" t="str">
        <x:v>0865304512</x:v>
      </x:c>
      <x:c r="C6" s="16" t="str">
        <x:v>002190182728</x:v>
      </x:c>
      <x:c r="D6" s="14" t="str">
        <x:v>hoangduclong05@gmail.com</x:v>
      </x:c>
      <x:c r="E6" s="14" t="str">
        <x:v>Tây Hồ, Hà Nội</x:v>
      </x:c>
      <x:c r="F6" s="14" t="str">
        <x:v>Hoàng Đức Long</x:v>
      </x:c>
      <x:c r="G6" s="14" t="str">
        <x:v>Thanh toán sớm</x:v>
      </x:c>
      <x:c r="H6" s="18" t="n">
        <x:v>7896434727</x:v>
      </x:c>
      <x:c r="I6" s="20" t="n">
        <x:v>46186.416666666664</x:v>
      </x:c>
      <x:c r="J6" s="14" t="str">
        <x:v>Đã ký</x:v>
      </x:c>
      <x:c r="K6" s="18" t="n">
        <x:v>469039000</x:v>
      </x:c>
      <x:c r="L6" s="18" t="n">
        <x:v>173792000</x:v>
      </x:c>
      <x:c r="M6" s="14" t="str">
        <x:v>Quan tâm căn tầng cao, view thoáng</x:v>
      </x:c>
      <x:c r="N6" s="14" t="str">
        <x:v>V1.1701</x:v>
      </x:c>
      <x:c r="O6" s="14" t="str">
        <x:v>NV005</x:v>
      </x:c>
    </x:row>
    <x:row r="7" ht="20" customHeight="1">
      <x:c r="A7" s="14" t="str">
        <x:v>HĐV1.2512</x:v>
      </x:c>
      <x:c r="B7" s="16" t="str">
        <x:v>0898745326</x:v>
      </x:c>
      <x:c r="C7" s="16" t="str">
        <x:v>025186168558</x:v>
      </x:c>
      <x:c r="D7" s="14" t="str">
        <x:v>dolananh06@gmail.com</x:v>
      </x:c>
      <x:c r="E7" s="14" t="str">
        <x:v>Ba Đình, Hà Nội</x:v>
      </x:c>
      <x:c r="F7" s="14" t="str">
        <x:v>Đỗ Lan Anh</x:v>
      </x:c>
      <x:c r="G7" s="14" t="str">
        <x:v>Vay HTLS</x:v>
      </x:c>
      <x:c r="H7" s="18" t="n">
        <x:v>9468455274</x:v>
      </x:c>
      <x:c r="I7" s="20" t="n">
        <x:v>46188.416666666664</x:v>
      </x:c>
      <x:c r="J7" s="14" t="str">
        <x:v>Đã ký</x:v>
      </x:c>
      <x:c r="K7" s="18" t="n">
        <x:v>446273000</x:v>
      </x:c>
      <x:c r="L7" s="18" t="n">
        <x:v>172210000</x:v>
      </x:c>
      <x:c r="M7" s="14" t="str">
        <x:v>Khách mua cho con, ưu tiên tiện ích nội khu</x:v>
      </x:c>
      <x:c r="N7" s="14" t="str">
        <x:v>V1.2512</x:v>
      </x:c>
      <x:c r="O7" s="14" t="str">
        <x:v>NV006</x:v>
      </x:c>
    </x:row>
    <x:row r="8" ht="20" customHeight="1">
      <x:c r="A8" s="14" t="str">
        <x:v>HĐV2.0610</x:v>
      </x:c>
      <x:c r="B8" s="16" t="str">
        <x:v>0398182466</x:v>
      </x:c>
      <x:c r="C8" s="16" t="str">
        <x:v>001192083728</x:v>
      </x:c>
      <x:c r="D8" s="14" t="str">
        <x:v>buianhdung07@gmail.com</x:v>
      </x:c>
      <x:c r="E8" s="14" t="str">
        <x:v>Hoàng Mai, Hà Nội</x:v>
      </x:c>
      <x:c r="F8" s="14" t="str">
        <x:v>Bùi Anh Dũng</x:v>
      </x:c>
      <x:c r="G8" s="14" t="str">
        <x:v>Thanh toán tiến độ</x:v>
      </x:c>
      <x:c r="H8" s="18" t="n">
        <x:v>5733517468</x:v>
      </x:c>
      <x:c r="I8" s="20" t="n">
        <x:v>46190.416666666664</x:v>
      </x:c>
      <x:c r="J8" s="14" t="str">
        <x:v>Đã ký</x:v>
      </x:c>
      <x:c r="K8" s="18" t="n">
        <x:v>344808000</x:v>
      </x:c>
      <x:c r="L8" s="18" t="n">
        <x:v>110315000</x:v>
      </x:c>
      <x:c r="M8" s="14" t="str">
        <x:v>Đã hoàn thiện hồ sơ giao dịch</x:v>
      </x:c>
      <x:c r="N8" s="14" t="str">
        <x:v>V2.0610</x:v>
      </x:c>
      <x:c r="O8" s="14" t="str">
        <x:v>NV011</x:v>
      </x:c>
    </x:row>
    <x:row r="9" ht="20" customHeight="1">
      <x:c r="A9" s="14" t="str">
        <x:v>HĐV2.0708</x:v>
      </x:c>
      <x:c r="B9" s="16" t="str">
        <x:v>0886439372</x:v>
      </x:c>
      <x:c r="C9" s="16" t="str">
        <x:v>027092700256</x:v>
      </x:c>
      <x:c r="D9" s="14" t="str">
        <x:v>vuthanhhuong08@gmail.com</x:v>
      </x:c>
      <x:c r="E9" s="14" t="str">
        <x:v>Long Biên, Hà Nội</x:v>
      </x:c>
      <x:c r="F9" s="14" t="str">
        <x:v>Vũ Thanh Hương</x:v>
      </x:c>
      <x:c r="G9" s="14" t="str">
        <x:v>Thanh toán sớm</x:v>
      </x:c>
      <x:c r="H9" s="18" t="n">
        <x:v>5781662437</x:v>
      </x:c>
      <x:c r="I9" s="20" t="n">
        <x:v>46192.416666666664</x:v>
      </x:c>
      <x:c r="J9" s="14" t="str">
        <x:v>Đã ký</x:v>
      </x:c>
      <x:c r="K9" s="18" t="n">
        <x:v>345347000</x:v>
      </x:c>
      <x:c r="L9" s="18" t="n">
        <x:v>111418000</x:v>
      </x:c>
      <x:c r="M9" s="14" t="str">
        <x:v>Khách đầu tư cho thuê</x:v>
      </x:c>
      <x:c r="N9" s="14" t="str">
        <x:v>V2.0708</x:v>
      </x:c>
      <x:c r="O9" s="14" t="str">
        <x:v>NV012</x:v>
      </x:c>
    </x:row>
    <x:row r="10" ht="20" customHeight="1">
      <x:c r="A10" s="14" t="str">
        <x:v>HĐTT4-18</x:v>
      </x:c>
      <x:c r="B10" s="16" t="str">
        <x:v>0884870293</x:v>
      </x:c>
      <x:c r="C10" s="16" t="str">
        <x:v>011101326420</x:v>
      </x:c>
      <x:c r="D10" s="14" t="str">
        <x:v>dangquocviet09@gmail.com</x:v>
      </x:c>
      <x:c r="E10" s="14" t="str">
        <x:v>Đống Đa, Hà Nội</x:v>
      </x:c>
      <x:c r="F10" s="14" t="str">
        <x:v>Đặng Quốc Việt</x:v>
      </x:c>
      <x:c r="G10" s="14" t="str">
        <x:v>Vay HTLS</x:v>
      </x:c>
      <x:c r="H10" s="18" t="n">
        <x:v>23643914479</x:v>
      </x:c>
      <x:c r="I10" s="20" t="n">
        <x:v>46194.416666666664</x:v>
      </x:c>
      <x:c r="J10" s="14" t="str">
        <x:v>Đã ký</x:v>
      </x:c>
      <x:c r="K10" s="18" t="n">
        <x:v>1438227000</x:v>
      </x:c>
      <x:c r="L10" s="18" t="n">
        <x:v>536787000</x:v>
      </x:c>
      <x:c r="M10" s="14" t="str">
        <x:v>Khách mua để ở, ưu tiên căn nhiều ánh sáng</x:v>
      </x:c>
      <x:c r="N10" s="14" t="str">
        <x:v>TT4-18</x:v>
      </x:c>
      <x:c r="O10" s="14" t="str">
        <x:v>NV013</x:v>
      </x:c>
    </x:row>
    <x:row r="11" ht="20" customHeight="1">
      <x:c r="A11" s="14" t="str">
        <x:v>HĐTT4-19</x:v>
      </x:c>
      <x:c r="B11" s="16" t="str">
        <x:v>0862377228</x:v>
      </x:c>
      <x:c r="C11" s="16" t="str">
        <x:v>004087116335</x:v>
      </x:c>
      <x:c r="D11" s="14" t="str">
        <x:v>phanminhchau10@gmail.com</x:v>
      </x:c>
      <x:c r="E11" s="14" t="str">
        <x:v>Hai Bà Trưng, Hà Nội</x:v>
      </x:c>
      <x:c r="F11" s="14" t="str">
        <x:v>Phan Minh Châu</x:v>
      </x:c>
      <x:c r="G11" s="14" t="str">
        <x:v>Thanh toán tiến độ</x:v>
      </x:c>
      <x:c r="H11" s="18" t="n">
        <x:v>23643914479</x:v>
      </x:c>
      <x:c r="I11" s="20" t="n">
        <x:v>46196.416666666664</x:v>
      </x:c>
      <x:c r="J11" s="14" t="str">
        <x:v>Đã ký</x:v>
      </x:c>
      <x:c r="K11" s="18" t="n">
        <x:v>1413984000</x:v>
      </x:c>
      <x:c r="L11" s="18" t="n">
        <x:v>484230000</x:v>
      </x:c>
      <x:c r="M11" s="14" t="str">
        <x:v>Khách đầu tư dài hạn, quan tâm tiềm năng tăng giá</x:v>
      </x:c>
      <x:c r="N11" s="14" t="str">
        <x:v>TT4-19</x:v>
      </x:c>
      <x:c r="O11" s="14" t="str">
        <x:v>NV001</x:v>
      </x:c>
    </x:row>
    <x:row r="12" ht="20" customHeight="1">
      <x:c r="A12" s="14" t="str">
        <x:v>HĐTT4-20</x:v>
      </x:c>
      <x:c r="B12" s="16" t="str">
        <x:v>0960868977</x:v>
      </x:c>
      <x:c r="C12" s="16" t="str">
        <x:v>015082958516</x:v>
      </x:c>
      <x:c r="D12" s="14" t="str">
        <x:v>nguyenhoanganh11@gmail.com</x:v>
      </x:c>
      <x:c r="E12" s="14" t="str">
        <x:v>Bắc Từ Liêm, Hà Nội</x:v>
      </x:c>
      <x:c r="F12" s="14" t="str">
        <x:v>Nguyễn Hoàng Anh</x:v>
      </x:c>
      <x:c r="G12" s="14" t="str">
        <x:v>Thanh toán sớm</x:v>
      </x:c>
      <x:c r="H12" s="18" t="n">
        <x:v>23643914479</x:v>
      </x:c>
      <x:c r="I12" s="20" t="n">
        <x:v>46198.416666666664</x:v>
      </x:c>
      <x:c r="J12" s="14" t="str">
        <x:v>Đã ký</x:v>
      </x:c>
      <x:c r="K12" s="18" t="n">
        <x:v>1677786000</x:v>
      </x:c>
      <x:c r="L12" s="18" t="n">
        <x:v>522256000</x:v>
      </x:c>
      <x:c r="M12" s="14" t="str">
        <x:v>Ưu tiên phương án thanh toán sớm</x:v>
      </x:c>
      <x:c r="N12" s="14" t="str">
        <x:v>TT4-20</x:v>
      </x:c>
      <x:c r="O12" s="14" t="str">
        <x:v>NV002</x:v>
      </x:c>
    </x:row>
    <x:row r="13" ht="20" customHeight="1">
      <x:c r="A13" s="14" t="str">
        <x:v>HĐTT4-21</x:v>
      </x:c>
      <x:c r="B13" s="16" t="str">
        <x:v>0899156534</x:v>
      </x:c>
      <x:c r="C13" s="16" t="str">
        <x:v>026189112966</x:v>
      </x:c>
      <x:c r="D13" s="14" t="str">
        <x:v>tranthaonguyen12@gmail.com</x:v>
      </x:c>
      <x:c r="E13" s="14" t="str">
        <x:v>Gia Lâm, Hà Nội</x:v>
      </x:c>
      <x:c r="F13" s="14" t="str">
        <x:v>Trần Thảo Nguyên</x:v>
      </x:c>
      <x:c r="G13" s="14" t="str">
        <x:v>Vay HTLS</x:v>
      </x:c>
      <x:c r="H13" s="18" t="n">
        <x:v>23643914479</x:v>
      </x:c>
      <x:c r="I13" s="20" t="n">
        <x:v>46200.416666666664</x:v>
      </x:c>
      <x:c r="J13" s="14" t="str">
        <x:v>Đã ký</x:v>
      </x:c>
      <x:c r="K13" s="18" t="n">
        <x:v>1332707000</x:v>
      </x:c>
      <x:c r="L13" s="18" t="n">
        <x:v>553318000</x:v>
      </x:c>
      <x:c r="M13" s="14" t="str">
        <x:v>Khách cần hỗ trợ vay ngân hàng</x:v>
      </x:c>
      <x:c r="N13" s="14" t="str">
        <x:v>TT4-21</x:v>
      </x:c>
      <x:c r="O13" s="14" t="str">
        <x:v>NV003</x:v>
      </x:c>
    </x:row>
    <x:row r="14" ht="20" customHeight="1">
      <x:c r="A14" s="14" t="str">
        <x:v>HĐTT5-8</x:v>
      </x:c>
      <x:c r="B14" s="16" t="str">
        <x:v>0881541215</x:v>
      </x:c>
      <x:c r="C14" s="16" t="str">
        <x:v>031189751277</x:v>
      </x:c>
      <x:c r="D14" s="14" t="str">
        <x:v>leducthanh13@gmail.com</x:v>
      </x:c>
      <x:c r="E14" s="14" t="str">
        <x:v>Cầu Giấy, Hà Nội</x:v>
      </x:c>
      <x:c r="F14" s="14" t="str">
        <x:v>Lê Đức Thành</x:v>
      </x:c>
      <x:c r="G14" s="14" t="str">
        <x:v>Thanh toán tiến độ</x:v>
      </x:c>
      <x:c r="H14" s="18" t="n">
        <x:v>23012435957</x:v>
      </x:c>
      <x:c r="I14" s="20" t="n">
        <x:v>46202.416666666664</x:v>
      </x:c>
      <x:c r="J14" s="14" t="str">
        <x:v>Đã ký</x:v>
      </x:c>
      <x:c r="K14" s="18" t="n">
        <x:v>1619442000</x:v>
      </x:c>
      <x:c r="L14" s="18" t="n">
        <x:v>506393000</x:v>
      </x:c>
      <x:c r="M14" s="14" t="str">
        <x:v>Quan tâm căn tầng cao, view thoáng</x:v>
      </x:c>
      <x:c r="N14" s="14" t="str">
        <x:v>TT5-8</x:v>
      </x:c>
      <x:c r="O14" s="14" t="str">
        <x:v>NV004</x:v>
      </x:c>
    </x:row>
    <x:row r="15" ht="20" customHeight="1">
      <x:c r="A15" s="14" t="str">
        <x:v>HĐTT5-9</x:v>
      </x:c>
      <x:c r="B15" s="16" t="str">
        <x:v>0867303152</x:v>
      </x:c>
      <x:c r="C15" s="16" t="str">
        <x:v>004184298693</x:v>
      </x:c>
      <x:c r="D15" s="14" t="str">
        <x:v>phamquynhanh14@gmail.com</x:v>
      </x:c>
      <x:c r="E15" s="14" t="str">
        <x:v>Thanh Xuân, Hà Nội</x:v>
      </x:c>
      <x:c r="F15" s="14" t="str">
        <x:v>Phạm Quỳnh Anh</x:v>
      </x:c>
      <x:c r="G15" s="14" t="str">
        <x:v>Thanh toán sớm</x:v>
      </x:c>
      <x:c r="H15" s="18" t="n">
        <x:v>23012435957</x:v>
      </x:c>
      <x:c r="I15" s="20" t="n">
        <x:v>46204.416666666664</x:v>
      </x:c>
      <x:c r="J15" s="14" t="str">
        <x:v>Đã ký</x:v>
      </x:c>
      <x:c r="K15" s="18" t="n">
        <x:v>1467544000</x:v>
      </x:c>
      <x:c r="L15" s="18" t="n">
        <x:v>464681000</x:v>
      </x:c>
      <x:c r="M15" s="14" t="str">
        <x:v>Khách mua cho con, ưu tiên tiện ích nội khu</x:v>
      </x:c>
      <x:c r="N15" s="14" t="str">
        <x:v>TT5-9</x:v>
      </x:c>
      <x:c r="O15" s="14" t="str">
        <x:v>NV005</x:v>
      </x:c>
    </x:row>
    <x:row r="16" ht="20" customHeight="1">
      <x:c r="A16" s="14" t="str">
        <x:v>HĐHH-B-17-18</x:v>
      </x:c>
      <x:c r="B16" s="16" t="str">
        <x:v>0333726790</x:v>
      </x:c>
      <x:c r="C16" s="16" t="str">
        <x:v>020085470758</x:v>
      </x:c>
      <x:c r="D16" s="14" t="str">
        <x:v>hoangminhphuc15@gmail.com</x:v>
      </x:c>
      <x:c r="E16" s="14" t="str">
        <x:v>Nam Từ Liêm, Hà Nội</x:v>
      </x:c>
      <x:c r="F16" s="14" t="str">
        <x:v>Hoàng Minh Phúc</x:v>
      </x:c>
      <x:c r="G16" s="14" t="str">
        <x:v>Vay HTLS</x:v>
      </x:c>
      <x:c r="H16" s="18" t="n">
        <x:v>14590000000</x:v>
      </x:c>
      <x:c r="I16" s="20" t="n">
        <x:v>46206.416666666664</x:v>
      </x:c>
      <x:c r="J16" s="14" t="str">
        <x:v>Đã ký</x:v>
      </x:c>
      <x:c r="K16" s="18" t="n">
        <x:v>671241000</x:v>
      </x:c>
      <x:c r="L16" s="18" t="n">
        <x:v>262620000</x:v>
      </x:c>
      <x:c r="M16" s="14" t="str">
        <x:v>Đã hoàn thiện hồ sơ giao dịch</x:v>
      </x:c>
      <x:c r="N16" s="14" t="str">
        <x:v>HH-B-17-18</x:v>
      </x:c>
      <x:c r="O16" s="14" t="str">
        <x:v>NV006</x:v>
      </x:c>
    </x:row>
    <x:row r="17" ht="20" customHeight="1">
      <x:c r="A17" s="14" t="str">
        <x:v>HĐC5L1-08-05A</x:v>
      </x:c>
      <x:c r="B17" s="16" t="str">
        <x:v>0346022426</x:v>
      </x:c>
      <x:c r="C17" s="16" t="str">
        <x:v>030003137597</x:v>
      </x:c>
      <x:c r="D17" s="14" t="str">
        <x:v>dongocha16@gmail.com</x:v>
      </x:c>
      <x:c r="E17" s="14" t="str">
        <x:v>Hà Đông, Hà Nội</x:v>
      </x:c>
      <x:c r="F17" s="14" t="str">
        <x:v>Đỗ Ngọc Hà</x:v>
      </x:c>
      <x:c r="G17" s="14" t="str">
        <x:v>Thanh toán tiến độ</x:v>
      </x:c>
      <x:c r="H17" s="18" t="n">
        <x:v>4970000000</x:v>
      </x:c>
      <x:c r="I17" s="20" t="n">
        <x:v>46208.416666666664</x:v>
      </x:c>
      <x:c r="J17" s="14" t="str">
        <x:v>Đã ký</x:v>
      </x:c>
      <x:c r="K17" s="18" t="n">
        <x:v>245326000</x:v>
      </x:c>
      <x:c r="L17" s="18" t="n">
        <x:v>98331000</x:v>
      </x:c>
      <x:c r="M17" s="14" t="str">
        <x:v>Khách đầu tư cho thuê</x:v>
      </x:c>
      <x:c r="N17" s="14" t="str">
        <x:v>C5L1-08-05A</x:v>
      </x:c>
      <x:c r="O17" s="14" t="str">
        <x:v>NV011</x:v>
      </x:c>
    </x:row>
    <x:row r="18" ht="20" customHeight="1">
      <x:c r="A18" s="14" t="str">
        <x:v>HĐC5L1-08-12A</x:v>
      </x:c>
      <x:c r="B18" s="16" t="str">
        <x:v>0388075810</x:v>
      </x:c>
      <x:c r="C18" s="16" t="str">
        <x:v>001001761954</x:v>
      </x:c>
      <x:c r="D18" s="14" t="str">
        <x:v>buituankiet17@gmail.com</x:v>
      </x:c>
      <x:c r="E18" s="14" t="str">
        <x:v>Tây Hồ, Hà Nội</x:v>
      </x:c>
      <x:c r="F18" s="14" t="str">
        <x:v>Bùi Tuấn Kiệt</x:v>
      </x:c>
      <x:c r="G18" s="14" t="str">
        <x:v>Thanh toán sớm</x:v>
      </x:c>
      <x:c r="H18" s="18" t="n">
        <x:v>2708000000</x:v>
      </x:c>
      <x:c r="I18" s="20" t="n">
        <x:v>46210.416666666664</x:v>
      </x:c>
      <x:c r="J18" s="14" t="str">
        <x:v>Đã ký</x:v>
      </x:c>
      <x:c r="K18" s="18" t="n">
        <x:v>144750000</x:v>
      </x:c>
      <x:c r="L18" s="18" t="n">
        <x:v>59114000</x:v>
      </x:c>
      <x:c r="M18" s="14" t="str">
        <x:v>Khách mua để ở, ưu tiên căn nhiều ánh sáng</x:v>
      </x:c>
      <x:c r="N18" s="14" t="str">
        <x:v>C5L1-08-12A</x:v>
      </x:c>
      <x:c r="O18" s="14" t="str">
        <x:v>NV012</x:v>
      </x:c>
    </x:row>
    <x:row r="19" ht="20" customHeight="1">
      <x:c r="A19" s="14" t="str">
        <x:v>HĐC5Z1-05-12A</x:v>
      </x:c>
      <x:c r="B19" s="16" t="str">
        <x:v>0970503538</x:v>
      </x:c>
      <x:c r="C19" s="16" t="str">
        <x:v>034099710082</x:v>
      </x:c>
      <x:c r="D19" s="14" t="str">
        <x:v>vukhanhvy18@gmail.com</x:v>
      </x:c>
      <x:c r="E19" s="14" t="str">
        <x:v>Ba Đình, Hà Nội</x:v>
      </x:c>
      <x:c r="F19" s="14" t="str">
        <x:v>Vũ Khánh Vy</x:v>
      </x:c>
      <x:c r="G19" s="14" t="str">
        <x:v>Vay HTLS</x:v>
      </x:c>
      <x:c r="H19" s="18" t="n">
        <x:v>3909000000</x:v>
      </x:c>
      <x:c r="I19" s="20" t="n">
        <x:v>46212.416666666664</x:v>
      </x:c>
      <x:c r="J19" s="14" t="str">
        <x:v>Đã ký</x:v>
      </x:c>
      <x:c r="K19" s="18" t="n">
        <x:v>177363000</x:v>
      </x:c>
      <x:c r="L19" s="18" t="n">
        <x:v>73837000</x:v>
      </x:c>
      <x:c r="M19" s="14" t="str">
        <x:v>Khách đầu tư dài hạn, quan tâm tiềm năng tăng giá</x:v>
      </x:c>
      <x:c r="N19" s="14" t="str">
        <x:v>C5Z1-05-12A</x:v>
      </x:c>
      <x:c r="O19" s="14" t="str">
        <x:v>NV013</x:v>
      </x:c>
    </x:row>
    <x:row r="20" ht="20" customHeight="1">
      <x:c r="A20" s="14" t="str">
        <x:v>HĐC5Z1-05-18</x:v>
      </x:c>
      <x:c r="B20" s="16" t="str">
        <x:v>0381685764</x:v>
      </x:c>
      <x:c r="C20" s="16" t="str">
        <x:v>030191691816</x:v>
      </x:c>
      <x:c r="D20" s="14" t="str">
        <x:v>danghuunam19@gmail.com</x:v>
      </x:c>
      <x:c r="E20" s="14" t="str">
        <x:v>Hoàng Mai, Hà Nội</x:v>
      </x:c>
      <x:c r="F20" s="14" t="str">
        <x:v>Đặng Hữu Nam</x:v>
      </x:c>
      <x:c r="G20" s="14" t="str">
        <x:v>Thanh toán tiến độ</x:v>
      </x:c>
      <x:c r="H20" s="18" t="n">
        <x:v>3298000000</x:v>
      </x:c>
      <x:c r="I20" s="20" t="n">
        <x:v>46214.416666666664</x:v>
      </x:c>
      <x:c r="J20" s="14" t="str">
        <x:v>Đã ký</x:v>
      </x:c>
      <x:c r="K20" s="18" t="n">
        <x:v>192627000</x:v>
      </x:c>
      <x:c r="L20" s="18" t="n">
        <x:v>61778000</x:v>
      </x:c>
      <x:c r="M20" s="14" t="str">
        <x:v>Ưu tiên phương án thanh toán sớm</x:v>
      </x:c>
      <x:c r="N20" s="14" t="str">
        <x:v>C5Z1-05-18</x:v>
      </x:c>
      <x:c r="O20" s="14" t="str">
        <x:v>NV001</x:v>
      </x:c>
    </x:row>
    <x:row r="21" ht="20" customHeight="1">
      <x:c r="A21" s="14" t="str">
        <x:v>HĐC5Z3-08-05A</x:v>
      </x:c>
      <x:c r="B21" s="16" t="str">
        <x:v>0982046961</x:v>
      </x:c>
      <x:c r="C21" s="16" t="str">
        <x:v>008187598470</x:v>
      </x:c>
      <x:c r="D21" s="14" t="str">
        <x:v>phanthuylinh20@gmail.com</x:v>
      </x:c>
      <x:c r="E21" s="14" t="str">
        <x:v>Long Biên, Hà Nội</x:v>
      </x:c>
      <x:c r="F21" s="14" t="str">
        <x:v>Phan Thuỳ Linh</x:v>
      </x:c>
      <x:c r="G21" s="14" t="str">
        <x:v>Thanh toán sớm</x:v>
      </x:c>
      <x:c r="H21" s="18" t="n">
        <x:v>4599000000</x:v>
      </x:c>
      <x:c r="I21" s="20" t="n">
        <x:v>46216.416666666664</x:v>
      </x:c>
      <x:c r="J21" s="14" t="str">
        <x:v>Đã ký</x:v>
      </x:c>
      <x:c r="K21" s="18" t="n">
        <x:v>282957000</x:v>
      </x:c>
      <x:c r="L21" s="18" t="n">
        <x:v>94354000</x:v>
      </x:c>
      <x:c r="M21" s="14" t="str">
        <x:v>Khách cần hỗ trợ vay ngân hàng</x:v>
      </x:c>
      <x:c r="N21" s="14" t="str">
        <x:v>C5Z3-08-05A</x:v>
      </x:c>
      <x:c r="O21" s="14" t="str">
        <x:v>NV002</x:v>
      </x:c>
    </x:row>
    <x:row r="22" ht="20" customHeight="1">
      <x:c r="A22" s="14" t="str">
        <x:v>HĐC5Z3-08-15A</x:v>
      </x:c>
      <x:c r="B22" s="16" t="str">
        <x:v>0898192049</x:v>
      </x:c>
      <x:c r="C22" s="16" t="str">
        <x:v>022103013860</x:v>
      </x:c>
      <x:c r="D22" s="14" t="str">
        <x:v>nguyenducmanh21@gmail.com</x:v>
      </x:c>
      <x:c r="E22" s="14" t="str">
        <x:v>Đống Đa, Hà Nội</x:v>
      </x:c>
      <x:c r="F22" s="14" t="str">
        <x:v>Nguyễn Đức Mạnh</x:v>
      </x:c>
      <x:c r="G22" s="14" t="str">
        <x:v>Vay HTLS</x:v>
      </x:c>
      <x:c r="H22" s="18" t="n">
        <x:v>2330000000</x:v>
      </x:c>
      <x:c r="I22" s="20" t="n">
        <x:v>46218.416666666664</x:v>
      </x:c>
      <x:c r="J22" s="14" t="str">
        <x:v>Đã ký</x:v>
      </x:c>
      <x:c r="K22" s="18" t="n">
        <x:v>123615000</x:v>
      </x:c>
      <x:c r="L22" s="18" t="n">
        <x:v>46459000</x:v>
      </x:c>
      <x:c r="M22" s="14" t="str">
        <x:v>Quan tâm căn tầng cao, view thoáng</x:v>
      </x:c>
      <x:c r="N22" s="14" t="str">
        <x:v>C5Z3-08-15A</x:v>
      </x:c>
      <x:c r="O22" s="14" t="str">
        <x:v>NV003</x:v>
      </x:c>
    </x:row>
    <x:row r="23" ht="20" customHeight="1">
      <x:c r="A23" s="14" t="str">
        <x:v>HĐC5Z3-08-03</x:v>
      </x:c>
      <x:c r="B23" s="16" t="str">
        <x:v>0978638085</x:v>
      </x:c>
      <x:c r="C23" s="16" t="str">
        <x:v>036087161099</x:v>
      </x:c>
      <x:c r="D23" s="14" t="str">
        <x:v>tranmaianh22@gmail.com</x:v>
      </x:c>
      <x:c r="E23" s="14" t="str">
        <x:v>Hai Bà Trưng, Hà Nội</x:v>
      </x:c>
      <x:c r="F23" s="14" t="str">
        <x:v>Trần Mai Anh</x:v>
      </x:c>
      <x:c r="G23" s="14" t="str">
        <x:v>Thanh toán tiến độ</x:v>
      </x:c>
      <x:c r="H23" s="18" t="n">
        <x:v>2231000000</x:v>
      </x:c>
      <x:c r="I23" s="20" t="n">
        <x:v>46220.416666666664</x:v>
      </x:c>
      <x:c r="J23" s="14" t="str">
        <x:v>Đã ký</x:v>
      </x:c>
      <x:c r="K23" s="18" t="n">
        <x:v>125176000</x:v>
      </x:c>
      <x:c r="L23" s="18" t="n">
        <x:v>41101000</x:v>
      </x:c>
      <x:c r="M23" s="14" t="str">
        <x:v>Khách mua cho con, ưu tiên tiện ích nội khu</x:v>
      </x:c>
      <x:c r="N23" s="14" t="str">
        <x:v>C5Z3-08-03</x:v>
      </x:c>
      <x:c r="O23" s="14" t="str">
        <x:v>NV004</x:v>
      </x:c>
    </x:row>
    <x:row r="24" ht="20" customHeight="1">
      <x:c r="A24" s="14" t="str">
        <x:v>HĐC5Z3-08-12A</x:v>
      </x:c>
      <x:c r="B24" s="16" t="str">
        <x:v>0348408938</x:v>
      </x:c>
      <x:c r="C24" s="16" t="str">
        <x:v>030184640845</x:v>
      </x:c>
      <x:c r="D24" s="14" t="str">
        <x:v>lequochuy23@gmail.com</x:v>
      </x:c>
      <x:c r="E24" s="14" t="str">
        <x:v>Bắc Từ Liêm, Hà Nội</x:v>
      </x:c>
      <x:c r="F24" s="14" t="str">
        <x:v>Lê Quốc Huy</x:v>
      </x:c>
      <x:c r="G24" s="14" t="str">
        <x:v>Thanh toán sớm</x:v>
      </x:c>
      <x:c r="H24" s="18" t="n">
        <x:v>4622000000</x:v>
      </x:c>
      <x:c r="I24" s="20" t="n">
        <x:v>46222.416666666664</x:v>
      </x:c>
      <x:c r="J24" s="14" t="str">
        <x:v>Đã ký</x:v>
      </x:c>
      <x:c r="K24" s="18" t="n">
        <x:v>279768000</x:v>
      </x:c>
      <x:c r="L24" s="18" t="n">
        <x:v>102804000</x:v>
      </x:c>
      <x:c r="M24" s="14" t="str">
        <x:v>Đã hoàn thiện hồ sơ giao dịch</x:v>
      </x:c>
      <x:c r="N24" s="14" t="str">
        <x:v>C5Z3-08-12A</x:v>
      </x:c>
      <x:c r="O24" s="14" t="str">
        <x:v>NV005</x:v>
      </x:c>
    </x:row>
    <x:row r="25" ht="20" customHeight="1">
      <x:c r="A25" s="14" t="str">
        <x:v>HĐC5L3-10-21</x:v>
      </x:c>
      <x:c r="B25" s="16" t="str">
        <x:v>0971530205</x:v>
      </x:c>
      <x:c r="C25" s="16" t="str">
        <x:v>002101831078</x:v>
      </x:c>
      <x:c r="D25" s="14" t="str">
        <x:v>phambaongoc24@gmail.com</x:v>
      </x:c>
      <x:c r="E25" s="14" t="str">
        <x:v>Gia Lâm, Hà Nội</x:v>
      </x:c>
      <x:c r="F25" s="14" t="str">
        <x:v>Phạm Bảo Ngọc</x:v>
      </x:c>
      <x:c r="G25" s="14" t="str">
        <x:v>Vay HTLS</x:v>
      </x:c>
      <x:c r="H25" s="18" t="n">
        <x:v>2763000000</x:v>
      </x:c>
      <x:c r="I25" s="20" t="n">
        <x:v>46224.416666666664</x:v>
      </x:c>
      <x:c r="J25" s="14" t="str">
        <x:v>Đã ký</x:v>
      </x:c>
      <x:c r="K25" s="18" t="n">
        <x:v>137055000</x:v>
      </x:c>
      <x:c r="L25" s="18" t="n">
        <x:v>52186000</x:v>
      </x:c>
      <x:c r="M25" s="14" t="str">
        <x:v>Khách đầu tư cho thuê</x:v>
      </x:c>
      <x:c r="N25" s="14" t="str">
        <x:v>C5L3-10-21</x:v>
      </x:c>
      <x:c r="O25" s="14" t="str">
        <x:v>NV006</x:v>
      </x:c>
    </x:row>
    <x:row r="26" ht="20" customHeight="1">
      <x:c r="A26" s="14" t="str">
        <x:v>HĐV1.0506</x:v>
      </x:c>
      <x:c r="B26" s="16" t="str">
        <x:v>0346704955</x:v>
      </x:c>
      <x:c r="C26" s="16" t="str">
        <x:v>010094702298</x:v>
      </x:c>
      <x:c r="D26" s="14" t="str">
        <x:v>vugiangan25@gmail.com</x:v>
      </x:c>
      <x:c r="E26" s="14" t="str">
        <x:v>Cầu Giấy, Hà Nội</x:v>
      </x:c>
      <x:c r="F26" s="14" t="str">
        <x:v>Vũ Gia Ngân</x:v>
      </x:c>
      <x:c r="G26" s="14" t="str">
        <x:v>Thanh toán tiến độ</x:v>
      </x:c>
      <x:c r="H26" s="18" t="n">
        <x:v>8242496989</x:v>
      </x:c>
      <x:c r="I26" s="20" t="n">
        <x:v>46027.385416666664</x:v>
      </x:c>
      <x:c r="J26" s="14" t="str">
        <x:v>Đã ký</x:v>
      </x:c>
      <x:c r="K26" s="18" t="n">
        <x:v>477139000</x:v>
      </x:c>
      <x:c r="L26" s="18" t="n">
        <x:v>154236000</x:v>
      </x:c>
      <x:c r="M26" s="14" t="str">
        <x:v>Khách mua để ở, ưu tiên căn nhiều ánh sáng</x:v>
      </x:c>
      <x:c r="N26" s="14" t="str">
        <x:v>V1.0506</x:v>
      </x:c>
      <x:c r="O26" s="14" t="str">
        <x:v>NV001</x:v>
      </x:c>
    </x:row>
    <x:row r="27" ht="20" customHeight="1">
      <x:c r="A27" s="14" t="str">
        <x:v>HĐTT4-3</x:v>
      </x:c>
      <x:c r="B27" s="16" t="str">
        <x:v>0895269505</x:v>
      </x:c>
      <x:c r="C27" s="16" t="str">
        <x:v>036196490218</x:v>
      </x:c>
      <x:c r="D27" s="14" t="str">
        <x:v>tranngocbinh26@gmail.com</x:v>
      </x:c>
      <x:c r="E27" s="14" t="str">
        <x:v>Thanh Xuân, Hà Nội</x:v>
      </x:c>
      <x:c r="F27" s="14" t="str">
        <x:v>Trần Ngọc Bình</x:v>
      </x:c>
      <x:c r="G27" s="14" t="str">
        <x:v>Thanh toán sớm</x:v>
      </x:c>
      <x:c r="H27" s="18" t="n">
        <x:v>29727979025</x:v>
      </x:c>
      <x:c r="I27" s="20" t="n">
        <x:v>46031.4375</x:v>
      </x:c>
      <x:c r="J27" s="14" t="str">
        <x:v>Đã ký</x:v>
      </x:c>
      <x:c r="K27" s="18" t="n">
        <x:v>2115362000</x:v>
      </x:c>
      <x:c r="L27" s="18" t="n">
        <x:v>675419000</x:v>
      </x:c>
      <x:c r="M27" s="14" t="str">
        <x:v>Khách đầu tư dài hạn, quan tâm tiềm năng tăng giá</x:v>
      </x:c>
      <x:c r="N27" s="14" t="str">
        <x:v>TT4-3</x:v>
      </x:c>
      <x:c r="O27" s="14" t="str">
        <x:v>NV002</x:v>
      </x:c>
    </x:row>
    <x:row r="28" ht="20" customHeight="1">
      <x:c r="A28" s="14" t="str">
        <x:v>HĐTT4-4</x:v>
      </x:c>
      <x:c r="B28" s="16" t="str">
        <x:v>0377347741</x:v>
      </x:c>
      <x:c r="C28" s="16" t="str">
        <x:v>019099349324</x:v>
      </x:c>
      <x:c r="D28" s="14" t="str">
        <x:v>vongochuong27@gmail.com</x:v>
      </x:c>
      <x:c r="E28" s="14" t="str">
        <x:v>Nam Từ Liêm, Hà Nội</x:v>
      </x:c>
      <x:c r="F28" s="14" t="str">
        <x:v>Võ Ngọc Hương</x:v>
      </x:c>
      <x:c r="G28" s="14" t="str">
        <x:v>Vay HTLS</x:v>
      </x:c>
      <x:c r="H28" s="18" t="n">
        <x:v>21795902589</x:v>
      </x:c>
      <x:c r="I28" s="20" t="n">
        <x:v>46035.458333333336</x:v>
      </x:c>
      <x:c r="J28" s="14" t="str">
        <x:v>Đã ký</x:v>
      </x:c>
      <x:c r="K28" s="18" t="n">
        <x:v>1407768000</x:v>
      </x:c>
      <x:c r="L28" s="18" t="n">
        <x:v>531936000</x:v>
      </x:c>
      <x:c r="M28" s="14" t="str">
        <x:v>Khách cần hỗ trợ vay ngân hàng</x:v>
      </x:c>
      <x:c r="N28" s="14" t="str">
        <x:v>TT4-4</x:v>
      </x:c>
      <x:c r="O28" s="14" t="str">
        <x:v>NV003</x:v>
      </x:c>
    </x:row>
    <x:row r="29" ht="20" customHeight="1">
      <x:c r="A29" s="14" t="str">
        <x:v>HĐV1.0520</x:v>
      </x:c>
      <x:c r="B29" s="16" t="str">
        <x:v>0367051814</x:v>
      </x:c>
      <x:c r="C29" s="16" t="str">
        <x:v>011183606207</x:v>
      </x:c>
      <x:c r="D29" s="14" t="str">
        <x:v>nguyenductrang28@gmail.com</x:v>
      </x:c>
      <x:c r="E29" s="14" t="str">
        <x:v>Hà Đông, Hà Nội</x:v>
      </x:c>
      <x:c r="F29" s="14" t="str">
        <x:v>Nguyễn Đức Trang</x:v>
      </x:c>
      <x:c r="G29" s="14" t="str">
        <x:v>Thanh toán tiến độ</x:v>
      </x:c>
      <x:c r="H29" s="18" t="n">
        <x:v>8410711213</x:v>
      </x:c>
      <x:c r="I29" s="20" t="n">
        <x:v>46041.583333333336</x:v>
      </x:c>
      <x:c r="J29" s="14" t="str">
        <x:v>Đã ký</x:v>
      </x:c>
      <x:c r="K29" s="18" t="n">
        <x:v>452249000</x:v>
      </x:c>
      <x:c r="L29" s="18" t="n">
        <x:v>156366000</x:v>
      </x:c>
      <x:c r="M29" s="14" t="str">
        <x:v>Quan tâm căn tầng cao, view thoáng</x:v>
      </x:c>
      <x:c r="N29" s="14" t="str">
        <x:v>V1.0520</x:v>
      </x:c>
      <x:c r="O29" s="14" t="str">
        <x:v>NV004</x:v>
      </x:c>
    </x:row>
    <x:row r="30" ht="20" customHeight="1">
      <x:c r="A30" s="14" t="str">
        <x:v>HĐTT4-5</x:v>
      </x:c>
      <x:c r="B30" s="16" t="str">
        <x:v>0861576397</x:v>
      </x:c>
      <x:c r="C30" s="16" t="str">
        <x:v>030001443078</x:v>
      </x:c>
      <x:c r="D30" s="14" t="str">
        <x:v>phanminhphuc29@gmail.com</x:v>
      </x:c>
      <x:c r="E30" s="14" t="str">
        <x:v>Tây Hồ, Hà Nội</x:v>
      </x:c>
      <x:c r="F30" s="14" t="str">
        <x:v>Phan Minh Phúc</x:v>
      </x:c>
      <x:c r="G30" s="14" t="str">
        <x:v>Thanh toán sớm</x:v>
      </x:c>
      <x:c r="H30" s="18" t="n">
        <x:v>20706107460</x:v>
      </x:c>
      <x:c r="I30" s="20" t="n">
        <x:v>46045.645833333336</x:v>
      </x:c>
      <x:c r="J30" s="14" t="str">
        <x:v>Đã ký</x:v>
      </x:c>
      <x:c r="K30" s="18" t="n">
        <x:v>1364238000</x:v>
      </x:c>
      <x:c r="L30" s="18" t="n">
        <x:v>440419000</x:v>
      </x:c>
      <x:c r="M30" s="14" t="str">
        <x:v>Khách mua cho con, ưu tiên tiện ích nội khu</x:v>
      </x:c>
      <x:c r="N30" s="14" t="str">
        <x:v>TT4-5</x:v>
      </x:c>
      <x:c r="O30" s="14" t="str">
        <x:v>NV005</x:v>
      </x:c>
    </x:row>
    <x:row r="31" ht="20" customHeight="1">
      <x:c r="A31" s="14" t="str">
        <x:v>HĐTT4-6</x:v>
      </x:c>
      <x:c r="B31" s="16" t="str">
        <x:v>0968762143</x:v>
      </x:c>
      <x:c r="C31" s="16" t="str">
        <x:v>004100124498</x:v>
      </x:c>
      <x:c r="D31" s="14" t="str">
        <x:v>phanducha30@gmail.com</x:v>
      </x:c>
      <x:c r="E31" s="14" t="str">
        <x:v>Ba Đình, Hà Nội</x:v>
      </x:c>
      <x:c r="F31" s="14" t="str">
        <x:v>Phan Đức Hà</x:v>
      </x:c>
      <x:c r="G31" s="14" t="str">
        <x:v>Vay HTLS</x:v>
      </x:c>
      <x:c r="H31" s="18" t="n">
        <x:v>21795902589</x:v>
      </x:c>
      <x:c r="I31" s="20" t="n">
        <x:v>46049.677083333336</x:v>
      </x:c>
      <x:c r="J31" s="14" t="str">
        <x:v>Đã ký</x:v>
      </x:c>
      <x:c r="K31" s="18" t="n">
        <x:v>1190370000</x:v>
      </x:c>
      <x:c r="L31" s="18" t="n">
        <x:v>452376000</x:v>
      </x:c>
      <x:c r="M31" s="14" t="str">
        <x:v>Khách đầu tư cho thuê</x:v>
      </x:c>
      <x:c r="N31" s="14" t="str">
        <x:v>TT4-6</x:v>
      </x:c>
      <x:c r="O31" s="14" t="str">
        <x:v>NV006</x:v>
      </x:c>
    </x:row>
    <x:row r="32" ht="20" customHeight="1">
      <x:c r="A32" s="14" t="str">
        <x:v>HĐV1.0720</x:v>
      </x:c>
      <x:c r="B32" s="16" t="str">
        <x:v>0341099462</x:v>
      </x:c>
      <x:c r="C32" s="16" t="str">
        <x:v>012080359316</x:v>
      </x:c>
      <x:c r="D32" s="14" t="str">
        <x:v>doducduong31@gmail.com</x:v>
      </x:c>
      <x:c r="E32" s="14" t="str">
        <x:v>Hoàng Mai, Hà Nội</x:v>
      </x:c>
      <x:c r="F32" s="14" t="str">
        <x:v>Đỗ Đức Dương</x:v>
      </x:c>
      <x:c r="G32" s="14" t="str">
        <x:v>Thanh toán tiến độ</x:v>
      </x:c>
      <x:c r="H32" s="18" t="n">
        <x:v>8461633784</x:v>
      </x:c>
      <x:c r="I32" s="20" t="n">
        <x:v>46058.385416666664</x:v>
      </x:c>
      <x:c r="J32" s="14" t="str">
        <x:v>Đã ký</x:v>
      </x:c>
      <x:c r="K32" s="18" t="n">
        <x:v>452090000</x:v>
      </x:c>
      <x:c r="L32" s="18" t="n">
        <x:v>159767000</x:v>
      </x:c>
      <x:c r="M32" s="14" t="str">
        <x:v>Khách mua để ở, ưu tiên căn nhiều ánh sáng</x:v>
      </x:c>
      <x:c r="N32" s="14" t="str">
        <x:v>V1.0720</x:v>
      </x:c>
      <x:c r="O32" s="14" t="str">
        <x:v>NV011</x:v>
      </x:c>
    </x:row>
    <x:row r="33" ht="20" customHeight="1">
      <x:c r="A33" s="14" t="str">
        <x:v>HĐTT4-7</x:v>
      </x:c>
      <x:c r="B33" s="16" t="str">
        <x:v>0398504109</x:v>
      </x:c>
      <x:c r="C33" s="16" t="str">
        <x:v>026184710970</x:v>
      </x:c>
      <x:c r="D33" s="14" t="str">
        <x:v>phanduckhoa32@gmail.com</x:v>
      </x:c>
      <x:c r="E33" s="14" t="str">
        <x:v>Long Biên, Hà Nội</x:v>
      </x:c>
      <x:c r="F33" s="14" t="str">
        <x:v>Phan Đức Khoa</x:v>
      </x:c>
      <x:c r="G33" s="14" t="str">
        <x:v>Thanh toán sớm</x:v>
      </x:c>
      <x:c r="H33" s="18" t="n">
        <x:v>20706107460</x:v>
      </x:c>
      <x:c r="I33" s="20" t="n">
        <x:v>46062.4375</x:v>
      </x:c>
      <x:c r="J33" s="14" t="str">
        <x:v>Đã ký</x:v>
      </x:c>
      <x:c r="K33" s="18" t="n">
        <x:v>1501192000</x:v>
      </x:c>
      <x:c r="L33" s="18" t="n">
        <x:v>482185000</x:v>
      </x:c>
      <x:c r="M33" s="14" t="str">
        <x:v>Khách đầu tư dài hạn, quan tâm tiềm năng tăng giá</x:v>
      </x:c>
      <x:c r="N33" s="14" t="str">
        <x:v>TT4-7</x:v>
      </x:c>
      <x:c r="O33" s="14" t="str">
        <x:v>NV012</x:v>
      </x:c>
    </x:row>
    <x:row r="34" ht="20" customHeight="1">
      <x:c r="A34" s="14" t="str">
        <x:v>HĐTT4-8</x:v>
      </x:c>
      <x:c r="B34" s="16" t="str">
        <x:v>0343424116</x:v>
      </x:c>
      <x:c r="C34" s="16" t="str">
        <x:v>001084865352</x:v>
      </x:c>
      <x:c r="D34" s="14" t="str">
        <x:v>dothanhvy33@gmail.com</x:v>
      </x:c>
      <x:c r="E34" s="14" t="str">
        <x:v>Đống Đa, Hà Nội</x:v>
      </x:c>
      <x:c r="F34" s="14" t="str">
        <x:v>Đỗ Thanh Vy</x:v>
      </x:c>
      <x:c r="G34" s="14" t="str">
        <x:v>Vay HTLS</x:v>
      </x:c>
      <x:c r="H34" s="18" t="n">
        <x:v>21795902589</x:v>
      </x:c>
      <x:c r="I34" s="20" t="n">
        <x:v>46066.458333333336</x:v>
      </x:c>
      <x:c r="J34" s="14" t="str">
        <x:v>Đã ký</x:v>
      </x:c>
      <x:c r="K34" s="18" t="n">
        <x:v>1135520000</x:v>
      </x:c>
      <x:c r="L34" s="18" t="n">
        <x:v>497966000</x:v>
      </x:c>
      <x:c r="M34" s="14" t="str">
        <x:v>Khách cần hỗ trợ vay ngân hàng</x:v>
      </x:c>
      <x:c r="N34" s="14" t="str">
        <x:v>TT4-8</x:v>
      </x:c>
      <x:c r="O34" s="14" t="str">
        <x:v>NV013</x:v>
      </x:c>
    </x:row>
    <x:row r="35" ht="20" customHeight="1">
      <x:c r="A35" s="14" t="str">
        <x:v>HĐV1.0806</x:v>
      </x:c>
      <x:c r="B35" s="16" t="str">
        <x:v>0348975271</x:v>
      </x:c>
      <x:c r="C35" s="16" t="str">
        <x:v>014185198252</x:v>
      </x:c>
      <x:c r="D35" s="14" t="str">
        <x:v>nguyenngoclinh34@gmail.com</x:v>
      </x:c>
      <x:c r="E35" s="14" t="str">
        <x:v>Hai Bà Trưng, Hà Nội</x:v>
      </x:c>
      <x:c r="F35" s="14" t="str">
        <x:v>Nguyễn Ngọc Linh</x:v>
      </x:c>
      <x:c r="G35" s="14" t="str">
        <x:v>Thanh toán tiến độ</x:v>
      </x:c>
      <x:c r="H35" s="18" t="n">
        <x:v>8317353168</x:v>
      </x:c>
      <x:c r="I35" s="20" t="n">
        <x:v>46071.583333333336</x:v>
      </x:c>
      <x:c r="J35" s="14" t="str">
        <x:v>Đã ký</x:v>
      </x:c>
      <x:c r="K35" s="18" t="n">
        <x:v>493042000</x:v>
      </x:c>
      <x:c r="L35" s="18" t="n">
        <x:v>149954000</x:v>
      </x:c>
      <x:c r="M35" s="14" t="str">
        <x:v>Quan tâm căn tầng cao, view thoáng</x:v>
      </x:c>
      <x:c r="N35" s="14" t="str">
        <x:v>V1.0806</x:v>
      </x:c>
      <x:c r="O35" s="14" t="str">
        <x:v>NV001</x:v>
      </x:c>
    </x:row>
    <x:row r="36" ht="20" customHeight="1">
      <x:c r="A36" s="14" t="str">
        <x:v>HĐTT4-9</x:v>
      </x:c>
      <x:c r="B36" s="16" t="str">
        <x:v>0891125058</x:v>
      </x:c>
      <x:c r="C36" s="16" t="str">
        <x:v>019182647998</x:v>
      </x:c>
      <x:c r="D36" s="14" t="str">
        <x:v>vuducmai35@gmail.com</x:v>
      </x:c>
      <x:c r="E36" s="14" t="str">
        <x:v>Bắc Từ Liêm, Hà Nội</x:v>
      </x:c>
      <x:c r="F36" s="14" t="str">
        <x:v>Vũ Đức Mai</x:v>
      </x:c>
      <x:c r="G36" s="14" t="str">
        <x:v>Thanh toán sớm</x:v>
      </x:c>
      <x:c r="H36" s="18" t="n">
        <x:v>18501488007</x:v>
      </x:c>
      <x:c r="I36" s="20" t="n">
        <x:v>46076.645833333336</x:v>
      </x:c>
      <x:c r="J36" s="14" t="str">
        <x:v>Đã ký</x:v>
      </x:c>
      <x:c r="K36" s="18" t="n">
        <x:v>1096920000</x:v>
      </x:c>
      <x:c r="L36" s="18" t="n">
        <x:v>403102000</x:v>
      </x:c>
      <x:c r="M36" s="14" t="str">
        <x:v>Khách mua cho con, ưu tiên tiện ích nội khu</x:v>
      </x:c>
      <x:c r="N36" s="14" t="str">
        <x:v>TT4-9</x:v>
      </x:c>
      <x:c r="O36" s="14" t="str">
        <x:v>NV002</x:v>
      </x:c>
    </x:row>
    <x:row r="37" ht="20" customHeight="1">
      <x:c r="A37" s="14" t="str">
        <x:v>HĐTT4-10</x:v>
      </x:c>
      <x:c r="B37" s="16" t="str">
        <x:v>0975796926</x:v>
      </x:c>
      <x:c r="C37" s="16" t="str">
        <x:v>024193719521</x:v>
      </x:c>
      <x:c r="D37" s="14" t="str">
        <x:v>vuhaianh36@gmail.com</x:v>
      </x:c>
      <x:c r="E37" s="14" t="str">
        <x:v>Gia Lâm, Hà Nội</x:v>
      </x:c>
      <x:c r="F37" s="14" t="str">
        <x:v>Vũ Hải Anh</x:v>
      </x:c>
      <x:c r="G37" s="14" t="str">
        <x:v>Vay HTLS</x:v>
      </x:c>
      <x:c r="H37" s="18" t="n">
        <x:v>19475250533</x:v>
      </x:c>
      <x:c r="I37" s="20" t="n">
        <x:v>46080.677083333336</x:v>
      </x:c>
      <x:c r="J37" s="14" t="str">
        <x:v>Đã ký</x:v>
      </x:c>
      <x:c r="K37" s="18" t="n">
        <x:v>1289294000</x:v>
      </x:c>
      <x:c r="L37" s="18" t="n">
        <x:v>423999000</x:v>
      </x:c>
      <x:c r="M37" s="14" t="str">
        <x:v>Khách đầu tư cho thuê</x:v>
      </x:c>
      <x:c r="N37" s="14" t="str">
        <x:v>TT4-10</x:v>
      </x:c>
      <x:c r="O37" s="14" t="str">
        <x:v>NV003</x:v>
      </x:c>
    </x:row>
    <x:row r="38" ht="20" customHeight="1">
      <x:c r="A38" s="14" t="str">
        <x:v>HĐV1.12A06</x:v>
      </x:c>
      <x:c r="B38" s="16" t="str">
        <x:v>0369994366</x:v>
      </x:c>
      <x:c r="C38" s="16" t="str">
        <x:v>030001555550</x:v>
      </x:c>
      <x:c r="D38" s="14" t="str">
        <x:v>vominhngan37@gmail.com</x:v>
      </x:c>
      <x:c r="E38" s="14" t="str">
        <x:v>Đông Anh, Hà Nội</x:v>
      </x:c>
      <x:c r="F38" s="14" t="str">
        <x:v>Võ Minh Ngân</x:v>
      </x:c>
      <x:c r="G38" s="14" t="str">
        <x:v>Thanh toán tiến độ</x:v>
      </x:c>
      <x:c r="H38" s="18" t="n">
        <x:v>8382597436</x:v>
      </x:c>
      <x:c r="I38" s="20" t="n">
        <x:v>46086.385416666664</x:v>
      </x:c>
      <x:c r="J38" s="14" t="str">
        <x:v>Đã ký</x:v>
      </x:c>
      <x:c r="K38" s="18" t="n">
        <x:v>472970000</x:v>
      </x:c>
      <x:c r="L38" s="18" t="n">
        <x:v>173259000</x:v>
      </x:c>
      <x:c r="M38" s="14" t="str">
        <x:v>Khách mua để ở, ưu tiên căn nhiều ánh sáng</x:v>
      </x:c>
      <x:c r="N38" s="14" t="str">
        <x:v>V1.12A06</x:v>
      </x:c>
      <x:c r="O38" s="14" t="str">
        <x:v>NV004</x:v>
      </x:c>
    </x:row>
    <x:row r="39" ht="20" customHeight="1">
      <x:c r="A39" s="14" t="str">
        <x:v>HĐTT4-11</x:v>
      </x:c>
      <x:c r="B39" s="16" t="str">
        <x:v>0322780316</x:v>
      </x:c>
      <x:c r="C39" s="16" t="str">
        <x:v>033198489448</x:v>
      </x:c>
      <x:c r="D39" s="14" t="str">
        <x:v>phanthuyduong38@gmail.com</x:v>
      </x:c>
      <x:c r="E39" s="14" t="str">
        <x:v>Hoài Đức, Hà Nội</x:v>
      </x:c>
      <x:c r="F39" s="14" t="str">
        <x:v>Phan Thùy Dương</x:v>
      </x:c>
      <x:c r="G39" s="14" t="str">
        <x:v>Thanh toán sớm</x:v>
      </x:c>
      <x:c r="H39" s="18" t="n">
        <x:v>18501488007</x:v>
      </x:c>
      <x:c r="I39" s="20" t="n">
        <x:v>46090.4375</x:v>
      </x:c>
      <x:c r="J39" s="14" t="str">
        <x:v>Đã ký</x:v>
      </x:c>
      <x:c r="K39" s="18" t="n">
        <x:v>1210117000</x:v>
      </x:c>
      <x:c r="L39" s="18" t="n">
        <x:v>436561000</x:v>
      </x:c>
      <x:c r="M39" s="14" t="str">
        <x:v>Khách đầu tư dài hạn, quan tâm tiềm năng tăng giá</x:v>
      </x:c>
      <x:c r="N39" s="14" t="str">
        <x:v>TT4-11</x:v>
      </x:c>
      <x:c r="O39" s="14" t="str">
        <x:v>NV005</x:v>
      </x:c>
    </x:row>
    <x:row r="40" ht="20" customHeight="1">
      <x:c r="A40" s="14" t="str">
        <x:v>HĐTT4-12</x:v>
      </x:c>
      <x:c r="B40" s="16" t="str">
        <x:v>0989789802</x:v>
      </x:c>
      <x:c r="C40" s="16" t="str">
        <x:v>022198410946</x:v>
      </x:c>
      <x:c r="D40" s="14" t="str">
        <x:v>dohaiduong39@gmail.com</x:v>
      </x:c>
      <x:c r="E40" s="14" t="str">
        <x:v>Thanh Trì, Hà Nội</x:v>
      </x:c>
      <x:c r="F40" s="14" t="str">
        <x:v>Đỗ Hải Dương</x:v>
      </x:c>
      <x:c r="G40" s="14" t="str">
        <x:v>Vay HTLS</x:v>
      </x:c>
      <x:c r="H40" s="18" t="n">
        <x:v>19475250533</x:v>
      </x:c>
      <x:c r="I40" s="20" t="n">
        <x:v>46094.458333333336</x:v>
      </x:c>
      <x:c r="J40" s="14" t="str">
        <x:v>Đã ký</x:v>
      </x:c>
      <x:c r="K40" s="18" t="n">
        <x:v>1170944000</x:v>
      </x:c>
      <x:c r="L40" s="18" t="n">
        <x:v>450442000</x:v>
      </x:c>
      <x:c r="M40" s="14" t="str">
        <x:v>Khách cần hỗ trợ vay ngân hàng</x:v>
      </x:c>
      <x:c r="N40" s="14" t="str">
        <x:v>TT4-12</x:v>
      </x:c>
      <x:c r="O40" s="14" t="str">
        <x:v>NV006</x:v>
      </x:c>
    </x:row>
    <x:row r="41" ht="20" customHeight="1">
      <x:c r="A41" s="14" t="str">
        <x:v>HĐV1.1406</x:v>
      </x:c>
      <x:c r="B41" s="16" t="str">
        <x:v>0342217414</x:v>
      </x:c>
      <x:c r="C41" s="16" t="str">
        <x:v>027183720102</x:v>
      </x:c>
      <x:c r="D41" s="14" t="str">
        <x:v>nguyenhaivy40@gmail.com</x:v>
      </x:c>
      <x:c r="E41" s="14" t="str">
        <x:v>Cầu Giấy, Hà Nội</x:v>
      </x:c>
      <x:c r="F41" s="14" t="str">
        <x:v>Nguyễn Hải Vy</x:v>
      </x:c>
      <x:c r="G41" s="14" t="str">
        <x:v>Thanh toán tiến độ</x:v>
      </x:c>
      <x:c r="H41" s="18" t="n">
        <x:v>8451850182</x:v>
      </x:c>
      <x:c r="I41" s="20" t="n">
        <x:v>46099.583333333336</x:v>
      </x:c>
      <x:c r="J41" s="14" t="str">
        <x:v>Đã ký</x:v>
      </x:c>
      <x:c r="K41" s="18" t="n">
        <x:v>476942000</x:v>
      </x:c>
      <x:c r="L41" s="18" t="n">
        <x:v>184599000</x:v>
      </x:c>
      <x:c r="M41" s="14" t="str">
        <x:v>Quan tâm căn tầng cao, view thoáng</x:v>
      </x:c>
      <x:c r="N41" s="14" t="str">
        <x:v>V1.1406</x:v>
      </x:c>
      <x:c r="O41" s="14" t="str">
        <x:v>NV011</x:v>
      </x:c>
    </x:row>
    <x:row r="42" ht="20" customHeight="1">
      <x:c r="A42" s="14" t="str">
        <x:v>HĐTT4-13</x:v>
      </x:c>
      <x:c r="B42" s="16" t="str">
        <x:v>0337816189</x:v>
      </x:c>
      <x:c r="C42" s="16" t="str">
        <x:v>006000975044</x:v>
      </x:c>
      <x:c r="D42" s="14" t="str">
        <x:v>trankhanhlong41@gmail.com</x:v>
      </x:c>
      <x:c r="E42" s="14" t="str">
        <x:v>Thanh Xuân, Hà Nội</x:v>
      </x:c>
      <x:c r="F42" s="14" t="str">
        <x:v>Trần Khánh Long</x:v>
      </x:c>
      <x:c r="G42" s="14" t="str">
        <x:v>Thanh toán sớm</x:v>
      </x:c>
      <x:c r="H42" s="18" t="n">
        <x:v>18501488007</x:v>
      </x:c>
      <x:c r="I42" s="20" t="n">
        <x:v>46104.645833333336</x:v>
      </x:c>
      <x:c r="J42" s="14" t="str">
        <x:v>Đã ký</x:v>
      </x:c>
      <x:c r="K42" s="18" t="n">
        <x:v>1216071000</x:v>
      </x:c>
      <x:c r="L42" s="18" t="n">
        <x:v>426866000</x:v>
      </x:c>
      <x:c r="M42" s="14" t="str">
        <x:v>Khách mua cho con, ưu tiên tiện ích nội khu</x:v>
      </x:c>
      <x:c r="N42" s="14" t="str">
        <x:v>TT4-13</x:v>
      </x:c>
      <x:c r="O42" s="14" t="str">
        <x:v>NV012</x:v>
      </x:c>
    </x:row>
    <x:row r="43" ht="20" customHeight="1">
      <x:c r="A43" s="14" t="str">
        <x:v>HĐTT4-14</x:v>
      </x:c>
      <x:c r="B43" s="16" t="str">
        <x:v>0892020611</x:v>
      </x:c>
      <x:c r="C43" s="16" t="str">
        <x:v>014185848794</x:v>
      </x:c>
      <x:c r="D43" s="14" t="str">
        <x:v>hoanganhmai42@gmail.com</x:v>
      </x:c>
      <x:c r="E43" s="14" t="str">
        <x:v>Nam Từ Liêm, Hà Nội</x:v>
      </x:c>
      <x:c r="F43" s="14" t="str">
        <x:v>Hoàng Anh Mai</x:v>
      </x:c>
      <x:c r="G43" s="14" t="str">
        <x:v>Vay HTLS</x:v>
      </x:c>
      <x:c r="H43" s="18" t="n">
        <x:v>27853960110</x:v>
      </x:c>
      <x:c r="I43" s="20" t="n">
        <x:v>46108.677083333336</x:v>
      </x:c>
      <x:c r="J43" s="14" t="str">
        <x:v>Đã ký</x:v>
      </x:c>
      <x:c r="K43" s="18" t="n">
        <x:v>1629519000</x:v>
      </x:c>
      <x:c r="L43" s="18" t="n">
        <x:v>563893000</x:v>
      </x:c>
      <x:c r="M43" s="14" t="str">
        <x:v>Khách đầu tư cho thuê</x:v>
      </x:c>
      <x:c r="N43" s="14" t="str">
        <x:v>TT4-14</x:v>
      </x:c>
      <x:c r="O43" s="14" t="str">
        <x:v>NV013</x:v>
      </x:c>
    </x:row>
    <x:row r="44" ht="20" customHeight="1">
      <x:c r="A44" s="14" t="str">
        <x:v>HĐV1.1706</x:v>
      </x:c>
      <x:c r="B44" s="16" t="str">
        <x:v>0886236052</x:v>
      </x:c>
      <x:c r="C44" s="16" t="str">
        <x:v>033099058983</x:v>
      </x:c>
      <x:c r="D44" s="14" t="str">
        <x:v>tranducha43@gmail.com</x:v>
      </x:c>
      <x:c r="E44" s="14" t="str">
        <x:v>Hà Đông, Hà Nội</x:v>
      </x:c>
      <x:c r="F44" s="14" t="str">
        <x:v>Trần Đức Hà</x:v>
      </x:c>
      <x:c r="G44" s="14" t="str">
        <x:v>Thanh toán tiến độ</x:v>
      </x:c>
      <x:c r="H44" s="18" t="n">
        <x:v>8510601872</x:v>
      </x:c>
      <x:c r="I44" s="20" t="n">
        <x:v>46118.385416666664</x:v>
      </x:c>
      <x:c r="J44" s="14" t="str">
        <x:v>Đã ký</x:v>
      </x:c>
      <x:c r="K44" s="18" t="n">
        <x:v>476009000</x:v>
      </x:c>
      <x:c r="L44" s="18" t="n">
        <x:v>155907000</x:v>
      </x:c>
      <x:c r="M44" s="14" t="str">
        <x:v>Khách mua để ở, ưu tiên căn nhiều ánh sáng</x:v>
      </x:c>
      <x:c r="N44" s="14" t="str">
        <x:v>V1.1706</x:v>
      </x:c>
      <x:c r="O44" s="14" t="str">
        <x:v>NV001</x:v>
      </x:c>
    </x:row>
    <x:row r="45" ht="20" customHeight="1">
      <x:c r="A45" s="14" t="str">
        <x:v>HĐTT4-17</x:v>
      </x:c>
      <x:c r="B45" s="16" t="str">
        <x:v>0970958052</x:v>
      </x:c>
      <x:c r="C45" s="16" t="str">
        <x:v>022094298750</x:v>
      </x:c>
      <x:c r="D45" s="14" t="str">
        <x:v>dokhanhchi44@gmail.com</x:v>
      </x:c>
      <x:c r="E45" s="14" t="str">
        <x:v>Tây Hồ, Hà Nội</x:v>
      </x:c>
      <x:c r="F45" s="14" t="str">
        <x:v>Đỗ Khánh Chi</x:v>
      </x:c>
      <x:c r="G45" s="14" t="str">
        <x:v>Thanh toán sớm</x:v>
      </x:c>
      <x:c r="H45" s="18" t="n">
        <x:v>31991616202</x:v>
      </x:c>
      <x:c r="I45" s="20" t="n">
        <x:v>46121.4375</x:v>
      </x:c>
      <x:c r="J45" s="14" t="str">
        <x:v>Đã ký</x:v>
      </x:c>
      <x:c r="K45" s="18" t="n">
        <x:v>2175258000</x:v>
      </x:c>
      <x:c r="L45" s="18" t="n">
        <x:v>651508000</x:v>
      </x:c>
      <x:c r="M45" s="14" t="str">
        <x:v>Khách đầu tư dài hạn, quan tâm tiềm năng tăng giá</x:v>
      </x:c>
      <x:c r="N45" s="14" t="str">
        <x:v>TT4-17</x:v>
      </x:c>
      <x:c r="O45" s="14" t="str">
        <x:v>NV002</x:v>
      </x:c>
    </x:row>
    <x:row r="46" ht="20" customHeight="1">
      <x:c r="A46" s="14" t="str">
        <x:v>HĐTT4-22</x:v>
      </x:c>
      <x:c r="B46" s="16" t="str">
        <x:v>0394422365</x:v>
      </x:c>
      <x:c r="C46" s="16" t="str">
        <x:v>036084121423</x:v>
      </x:c>
      <x:c r="D46" s="14" t="str">
        <x:v>tranthanhanh45@gmail.com</x:v>
      </x:c>
      <x:c r="E46" s="14" t="str">
        <x:v>Ba Đình, Hà Nội</x:v>
      </x:c>
      <x:c r="F46" s="14" t="str">
        <x:v>Trần Thanh Anh</x:v>
      </x:c>
      <x:c r="G46" s="14" t="str">
        <x:v>Vay HTLS</x:v>
      </x:c>
      <x:c r="H46" s="18" t="n">
        <x:v>22985667900</x:v>
      </x:c>
      <x:c r="I46" s="20" t="n">
        <x:v>46125.458333333336</x:v>
      </x:c>
      <x:c r="J46" s="14" t="str">
        <x:v>Đã ký</x:v>
      </x:c>
      <x:c r="K46" s="18" t="n">
        <x:v>1487551000</x:v>
      </x:c>
      <x:c r="L46" s="18" t="n">
        <x:v>548923000</x:v>
      </x:c>
      <x:c r="M46" s="14" t="str">
        <x:v>Khách cần hỗ trợ vay ngân hàng</x:v>
      </x:c>
      <x:c r="N46" s="14" t="str">
        <x:v>TT4-22</x:v>
      </x:c>
      <x:c r="O46" s="14" t="str">
        <x:v>NV003</x:v>
      </x:c>
    </x:row>
    <x:row r="47" ht="20" customHeight="1">
      <x:c r="A47" s="14" t="str">
        <x:v>HĐV1.2406</x:v>
      </x:c>
      <x:c r="B47" s="16" t="str">
        <x:v>0899284162</x:v>
      </x:c>
      <x:c r="C47" s="16" t="str">
        <x:v>006099003670</x:v>
      </x:c>
      <x:c r="D47" s="14" t="str">
        <x:v>hoangthuyngan46@gmail.com</x:v>
      </x:c>
      <x:c r="E47" s="14" t="str">
        <x:v>Hoàng Mai, Hà Nội</x:v>
      </x:c>
      <x:c r="F47" s="14" t="str">
        <x:v>Hoàng Thùy Ngân</x:v>
      </x:c>
      <x:c r="G47" s="14" t="str">
        <x:v>Thanh toán tiến độ</x:v>
      </x:c>
      <x:c r="H47" s="18" t="n">
        <x:v>8510601872</x:v>
      </x:c>
      <x:c r="I47" s="20" t="n">
        <x:v>46130.583333333336</x:v>
      </x:c>
      <x:c r="J47" s="14" t="str">
        <x:v>Đã ký</x:v>
      </x:c>
      <x:c r="K47" s="18" t="n">
        <x:v>466319000</x:v>
      </x:c>
      <x:c r="L47" s="18" t="n">
        <x:v>156631000</x:v>
      </x:c>
      <x:c r="M47" s="14" t="str">
        <x:v>Quan tâm căn tầng cao, view thoáng</x:v>
      </x:c>
      <x:c r="N47" s="14" t="str">
        <x:v>V1.2406</x:v>
      </x:c>
      <x:c r="O47" s="14" t="str">
        <x:v>NV004</x:v>
      </x:c>
    </x:row>
    <x:row r="48" ht="20" customHeight="1">
      <x:c r="A48" s="14" t="str">
        <x:v>HĐTT4-23</x:v>
      </x:c>
      <x:c r="B48" s="16" t="str">
        <x:v>0341700754</x:v>
      </x:c>
      <x:c r="C48" s="16" t="str">
        <x:v>011081982688</x:v>
      </x:c>
      <x:c r="D48" s="14" t="str">
        <x:v>voanhhuong47@gmail.com</x:v>
      </x:c>
      <x:c r="E48" s="14" t="str">
        <x:v>Long Biên, Hà Nội</x:v>
      </x:c>
      <x:c r="F48" s="14" t="str">
        <x:v>Võ Anh Hương</x:v>
      </x:c>
      <x:c r="G48" s="14" t="str">
        <x:v>Thanh toán sớm</x:v>
      </x:c>
      <x:c r="H48" s="18" t="n">
        <x:v>21836384505</x:v>
      </x:c>
      <x:c r="I48" s="20" t="n">
        <x:v>46135.645833333336</x:v>
      </x:c>
      <x:c r="J48" s="14" t="str">
        <x:v>Đã ký</x:v>
      </x:c>
      <x:c r="K48" s="18" t="n">
        <x:v>1520196000</x:v>
      </x:c>
      <x:c r="L48" s="18" t="n">
        <x:v>517990000</x:v>
      </x:c>
      <x:c r="M48" s="14" t="str">
        <x:v>Khách mua cho con, ưu tiên tiện ích nội khu</x:v>
      </x:c>
      <x:c r="N48" s="14" t="str">
        <x:v>TT4-23</x:v>
      </x:c>
      <x:c r="O48" s="14" t="str">
        <x:v>NV005</x:v>
      </x:c>
    </x:row>
    <x:row r="49" ht="20" customHeight="1">
      <x:c r="A49" s="14" t="str">
        <x:v>HĐTT4-24</x:v>
      </x:c>
      <x:c r="B49" s="16" t="str">
        <x:v>0977830345</x:v>
      </x:c>
      <x:c r="C49" s="16" t="str">
        <x:v>017183796506</x:v>
      </x:c>
      <x:c r="D49" s="14" t="str">
        <x:v>phanquangmai48@gmail.com</x:v>
      </x:c>
      <x:c r="E49" s="14" t="str">
        <x:v>Đống Đa, Hà Nội</x:v>
      </x:c>
      <x:c r="F49" s="14" t="str">
        <x:v>Phan Quang Mai</x:v>
      </x:c>
      <x:c r="G49" s="14" t="str">
        <x:v>Vay HTLS</x:v>
      </x:c>
      <x:c r="H49" s="18" t="n">
        <x:v>22985667900</x:v>
      </x:c>
      <x:c r="I49" s="20" t="n">
        <x:v>46139.677083333336</x:v>
      </x:c>
      <x:c r="J49" s="14" t="str">
        <x:v>Đã ký</x:v>
      </x:c>
      <x:c r="K49" s="18" t="n">
        <x:v>1539715000</x:v>
      </x:c>
      <x:c r="L49" s="18" t="n">
        <x:v>504726000</x:v>
      </x:c>
      <x:c r="M49" s="14" t="str">
        <x:v>Khách đầu tư cho thuê</x:v>
      </x:c>
      <x:c r="N49" s="14" t="str">
        <x:v>TT4-24</x:v>
      </x:c>
      <x:c r="O49" s="14" t="str">
        <x:v>NV006</x:v>
      </x:c>
    </x:row>
    <x:row r="50" ht="20" customHeight="1">
      <x:c r="A50" s="14" t="str">
        <x:v>HĐV1.2301</x:v>
      </x:c>
      <x:c r="B50" s="16" t="str">
        <x:v>0381673112</x:v>
      </x:c>
      <x:c r="C50" s="16" t="str">
        <x:v>024183154995</x:v>
      </x:c>
      <x:c r="D50" s="14" t="str">
        <x:v>vukhanhduong49@gmail.com</x:v>
      </x:c>
      <x:c r="E50" s="14" t="str">
        <x:v>Hai Bà Trưng, Hà Nội</x:v>
      </x:c>
      <x:c r="F50" s="14" t="str">
        <x:v>Vũ Khánh Dương</x:v>
      </x:c>
      <x:c r="G50" s="14" t="str">
        <x:v>Thanh toán tiến độ</x:v>
      </x:c>
      <x:c r="H50" s="18" t="n">
        <x:v>8527388069</x:v>
      </x:c>
      <x:c r="I50" s="20" t="n">
        <x:v>46147.385416666664</x:v>
      </x:c>
      <x:c r="J50" s="14" t="str">
        <x:v>Đã ký</x:v>
      </x:c>
      <x:c r="K50" s="18" t="n">
        <x:v>452875000</x:v>
      </x:c>
      <x:c r="L50" s="18" t="n">
        <x:v>190586000</x:v>
      </x:c>
      <x:c r="M50" s="14" t="str">
        <x:v>Khách mua để ở, ưu tiên căn nhiều ánh sáng</x:v>
      </x:c>
      <x:c r="N50" s="14" t="str">
        <x:v>V1.2301</x:v>
      </x:c>
      <x:c r="O50" s="14" t="str">
        <x:v>NV011</x:v>
      </x:c>
    </x:row>
    <x:row r="51" ht="20" customHeight="1">
      <x:c r="A51" s="14" t="str">
        <x:v>HĐTT4-25</x:v>
      </x:c>
      <x:c r="B51" s="16" t="str">
        <x:v>0352410254</x:v>
      </x:c>
      <x:c r="C51" s="16" t="str">
        <x:v>022182373328</x:v>
      </x:c>
      <x:c r="D51" s="14" t="str">
        <x:v>phamanhnam50@gmail.com</x:v>
      </x:c>
      <x:c r="E51" s="14" t="str">
        <x:v>Bắc Từ Liêm, Hà Nội</x:v>
      </x:c>
      <x:c r="F51" s="14" t="str">
        <x:v>Phạm Anh Nam</x:v>
      </x:c>
      <x:c r="G51" s="14" t="str">
        <x:v>Thanh toán sớm</x:v>
      </x:c>
      <x:c r="H51" s="18" t="n">
        <x:v>21836384505</x:v>
      </x:c>
      <x:c r="I51" s="20" t="n">
        <x:v>46151.4375</x:v>
      </x:c>
      <x:c r="J51" s="14" t="str">
        <x:v>Đã ký</x:v>
      </x:c>
      <x:c r="K51" s="18" t="n">
        <x:v>1314331000</x:v>
      </x:c>
      <x:c r="L51" s="18" t="n">
        <x:v>523057000</x:v>
      </x:c>
      <x:c r="M51" s="14" t="str">
        <x:v>Khách đầu tư dài hạn, quan tâm tiềm năng tăng giá</x:v>
      </x:c>
      <x:c r="N51" s="14" t="str">
        <x:v>TT4-25</x:v>
      </x:c>
      <x:c r="O51" s="14" t="str">
        <x:v>NV012</x:v>
      </x:c>
    </x:row>
    <x:row r="52" ht="20" customHeight="1">
      <x:c r="A52" s="14" t="str">
        <x:v>HĐTT4-26</x:v>
      </x:c>
      <x:c r="B52" s="16" t="str">
        <x:v>0862461773</x:v>
      </x:c>
      <x:c r="C52" s="16" t="str">
        <x:v>015095139117</x:v>
      </x:c>
      <x:c r="D52" s="14" t="str">
        <x:v>vuquangnam51@gmail.com</x:v>
      </x:c>
      <x:c r="E52" s="14" t="str">
        <x:v>Gia Lâm, Hà Nội</x:v>
      </x:c>
      <x:c r="F52" s="14" t="str">
        <x:v>Vũ Quang Nam</x:v>
      </x:c>
      <x:c r="G52" s="14" t="str">
        <x:v>Vay HTLS</x:v>
      </x:c>
      <x:c r="H52" s="18" t="n">
        <x:v>22985667900</x:v>
      </x:c>
      <x:c r="I52" s="20" t="n">
        <x:v>46155.458333333336</x:v>
      </x:c>
      <x:c r="J52" s="14" t="str">
        <x:v>Đã ký</x:v>
      </x:c>
      <x:c r="K52" s="18" t="n">
        <x:v>1239585000</x:v>
      </x:c>
      <x:c r="L52" s="18" t="n">
        <x:v>533994000</x:v>
      </x:c>
      <x:c r="M52" s="14" t="str">
        <x:v>Khách cần hỗ trợ vay ngân hàng</x:v>
      </x:c>
      <x:c r="N52" s="14" t="str">
        <x:v>TT4-26</x:v>
      </x:c>
      <x:c r="O52" s="14" t="str">
        <x:v>NV013</x:v>
      </x:c>
    </x:row>
    <x:row r="53" ht="20" customHeight="1">
      <x:c r="A53" s="14" t="str">
        <x:v>HĐV2.0504</x:v>
      </x:c>
      <x:c r="B53" s="16" t="str">
        <x:v>0325763614</x:v>
      </x:c>
      <x:c r="C53" s="16" t="str">
        <x:v>004084040047</x:v>
      </x:c>
      <x:c r="D53" s="14" t="str">
        <x:v>phamkhanhnam52@gmail.com</x:v>
      </x:c>
      <x:c r="E53" s="14" t="str">
        <x:v>Đông Anh, Hà Nội</x:v>
      </x:c>
      <x:c r="F53" s="14" t="str">
        <x:v>Phạm Khánh Nam</x:v>
      </x:c>
      <x:c r="G53" s="14" t="str">
        <x:v>Thanh toán tiến độ</x:v>
      </x:c>
      <x:c r="H53" s="18" t="n">
        <x:v>6250178614</x:v>
      </x:c>
      <x:c r="I53" s="20" t="n">
        <x:v>46160.583333333336</x:v>
      </x:c>
      <x:c r="J53" s="14" t="str">
        <x:v>Đã ký</x:v>
      </x:c>
      <x:c r="K53" s="18" t="n">
        <x:v>396536000</x:v>
      </x:c>
      <x:c r="L53" s="18" t="n">
        <x:v>120722000</x:v>
      </x:c>
      <x:c r="M53" s="14" t="str">
        <x:v>Quan tâm căn tầng cao, view thoáng</x:v>
      </x:c>
      <x:c r="N53" s="14" t="str">
        <x:v>V2.0504</x:v>
      </x:c>
      <x:c r="O53" s="14" t="str">
        <x:v>NV001</x:v>
      </x:c>
    </x:row>
    <x:row r="54" ht="20" customHeight="1">
      <x:c r="A54" s="14" t="str">
        <x:v>HĐTT4-27</x:v>
      </x:c>
      <x:c r="B54" s="16" t="str">
        <x:v>0883598042</x:v>
      </x:c>
      <x:c r="C54" s="16" t="str">
        <x:v>022184330999</x:v>
      </x:c>
      <x:c r="D54" s="14" t="str">
        <x:v>vukhanhhuy53@gmail.com</x:v>
      </x:c>
      <x:c r="E54" s="14" t="str">
        <x:v>Hoài Đức, Hà Nội</x:v>
      </x:c>
      <x:c r="F54" s="14" t="str">
        <x:v>Vũ Khánh Huy</x:v>
      </x:c>
      <x:c r="G54" s="14" t="str">
        <x:v>Thanh toán sớm</x:v>
      </x:c>
      <x:c r="H54" s="18" t="n">
        <x:v>21836384505</x:v>
      </x:c>
      <x:c r="I54" s="20" t="n">
        <x:v>46165.645833333336</x:v>
      </x:c>
      <x:c r="J54" s="14" t="str">
        <x:v>Đã ký</x:v>
      </x:c>
      <x:c r="K54" s="18" t="n">
        <x:v>1505873000</x:v>
      </x:c>
      <x:c r="L54" s="18" t="n">
        <x:v>491654000</x:v>
      </x:c>
      <x:c r="M54" s="14" t="str">
        <x:v>Khách mua cho con, ưu tiên tiện ích nội khu</x:v>
      </x:c>
      <x:c r="N54" s="14" t="str">
        <x:v>TT4-27</x:v>
      </x:c>
      <x:c r="O54" s="14" t="str">
        <x:v>NV002</x:v>
      </x:c>
    </x:row>
    <x:row r="55" ht="20" customHeight="1">
      <x:c r="A55" s="14" t="str">
        <x:v>HĐTT4-28</x:v>
      </x:c>
      <x:c r="B55" s="16" t="str">
        <x:v>0862442952</x:v>
      </x:c>
      <x:c r="C55" s="16" t="str">
        <x:v>026097887317</x:v>
      </x:c>
      <x:c r="D55" s="14" t="str">
        <x:v>nguyenhaibinh54@gmail.com</x:v>
      </x:c>
      <x:c r="E55" s="14" t="str">
        <x:v>Thanh Trì, Hà Nội</x:v>
      </x:c>
      <x:c r="F55" s="14" t="str">
        <x:v>Nguyễn Hải Bình</x:v>
      </x:c>
      <x:c r="G55" s="14" t="str">
        <x:v>Vay HTLS</x:v>
      </x:c>
      <x:c r="H55" s="18" t="n">
        <x:v>33055556147</x:v>
      </x:c>
      <x:c r="I55" s="20" t="n">
        <x:v>46169.677083333336</x:v>
      </x:c>
      <x:c r="J55" s="14" t="str">
        <x:v>Đã ký</x:v>
      </x:c>
      <x:c r="K55" s="18" t="n">
        <x:v>1853737000</x:v>
      </x:c>
      <x:c r="L55" s="18" t="n">
        <x:v>668772000</x:v>
      </x:c>
      <x:c r="M55" s="14" t="str">
        <x:v>Khách đầu tư cho thuê</x:v>
      </x:c>
      <x:c r="N55" s="14" t="str">
        <x:v>TT4-28</x:v>
      </x:c>
      <x:c r="O55" s="14" t="str">
        <x:v>NV003</x:v>
      </x:c>
    </x:row>
    <x:row r="56" ht="20" customHeight="1">
      <x:c r="A56" s="14" t="str">
        <x:v>HĐV2.0505</x:v>
      </x:c>
      <x:c r="B56" s="16" t="str">
        <x:v>0888563481</x:v>
      </x:c>
      <x:c r="C56" s="16" t="str">
        <x:v>001192266834</x:v>
      </x:c>
      <x:c r="D56" s="14" t="str">
        <x:v>dohoaiha55@gmail.com</x:v>
      </x:c>
      <x:c r="E56" s="14" t="str">
        <x:v>Cầu Giấy, Hà Nội</x:v>
      </x:c>
      <x:c r="F56" s="14" t="str">
        <x:v>Đỗ Hoài Hà</x:v>
      </x:c>
      <x:c r="G56" s="14" t="str">
        <x:v>Thanh toán tiến độ</x:v>
      </x:c>
      <x:c r="H56" s="18" t="n">
        <x:v>6307824280</x:v>
      </x:c>
      <x:c r="I56" s="20" t="n">
        <x:v>46239.385416666664</x:v>
      </x:c>
      <x:c r="J56" s="14" t="str">
        <x:v>Đã ký</x:v>
      </x:c>
      <x:c r="K56" s="18" t="n">
        <x:v>330701000</x:v>
      </x:c>
      <x:c r="L56" s="18" t="n">
        <x:v>125798000</x:v>
      </x:c>
      <x:c r="M56" s="14" t="str">
        <x:v>Khách mua để ở, ưu tiên căn nhiều ánh sáng</x:v>
      </x:c>
      <x:c r="N56" s="14" t="str">
        <x:v>V2.0505</x:v>
      </x:c>
      <x:c r="O56" s="14" t="str">
        <x:v>NV004</x:v>
      </x:c>
    </x:row>
    <x:row r="57" ht="20" customHeight="1">
      <x:c r="A57" s="14" t="str">
        <x:v>HĐTT5-2</x:v>
      </x:c>
      <x:c r="B57" s="16" t="str">
        <x:v>0882662131</x:v>
      </x:c>
      <x:c r="C57" s="16" t="str">
        <x:v>019195385735</x:v>
      </x:c>
      <x:c r="D57" s="14" t="str">
        <x:v>tranthunam56@gmail.com</x:v>
      </x:c>
      <x:c r="E57" s="14" t="str">
        <x:v>Thanh Xuân, Hà Nội</x:v>
      </x:c>
      <x:c r="F57" s="14" t="str">
        <x:v>Trần Thu Nam</x:v>
      </x:c>
      <x:c r="G57" s="14" t="str">
        <x:v>Thanh toán sớm</x:v>
      </x:c>
      <x:c r="H57" s="18" t="n">
        <x:v>30538105205</x:v>
      </x:c>
      <x:c r="I57" s="20" t="n">
        <x:v>46244.4375</x:v>
      </x:c>
      <x:c r="J57" s="14" t="str">
        <x:v>Đã ký</x:v>
      </x:c>
      <x:c r="K57" s="18" t="n">
        <x:v>2104529000</x:v>
      </x:c>
      <x:c r="L57" s="18" t="n">
        <x:v>697271000</x:v>
      </x:c>
      <x:c r="M57" s="14" t="str">
        <x:v>Khách đầu tư dài hạn, quan tâm tiềm năng tăng giá</x:v>
      </x:c>
      <x:c r="N57" s="14" t="str">
        <x:v>TT5-2</x:v>
      </x:c>
      <x:c r="O57" s="14" t="str">
        <x:v>NV005</x:v>
      </x:c>
    </x:row>
    <x:row r="58" ht="20" customHeight="1">
      <x:c r="A58" s="14" t="str">
        <x:v>HĐTT5-3</x:v>
      </x:c>
      <x:c r="B58" s="16" t="str">
        <x:v>0887243836</x:v>
      </x:c>
      <x:c r="C58" s="16" t="str">
        <x:v>035095584464</x:v>
      </x:c>
      <x:c r="D58" s="14" t="str">
        <x:v>tranquangha57@gmail.com</x:v>
      </x:c>
      <x:c r="E58" s="14" t="str">
        <x:v>Nam Từ Liêm, Hà Nội</x:v>
      </x:c>
      <x:c r="F58" s="14" t="str">
        <x:v>Trần Quang Hà</x:v>
      </x:c>
      <x:c r="G58" s="14" t="str">
        <x:v>Vay HTLS</x:v>
      </x:c>
      <x:c r="H58" s="18" t="n">
        <x:v>22371769740</x:v>
      </x:c>
      <x:c r="I58" s="20" t="n">
        <x:v>46247.458333333336</x:v>
      </x:c>
      <x:c r="J58" s="14" t="str">
        <x:v>Đã ký</x:v>
      </x:c>
      <x:c r="K58" s="18" t="n">
        <x:v>1305543000</x:v>
      </x:c>
      <x:c r="L58" s="18" t="n">
        <x:v>490545000</x:v>
      </x:c>
      <x:c r="M58" s="14" t="str">
        <x:v>Khách cần hỗ trợ vay ngân hàng</x:v>
      </x:c>
      <x:c r="N58" s="14" t="str">
        <x:v>TT5-3</x:v>
      </x:c>
      <x:c r="O58" s="14" t="str">
        <x:v>NV006</x:v>
      </x:c>
    </x:row>
    <x:row r="59" ht="20" customHeight="1">
      <x:c r="A59" s="14" t="str">
        <x:v>HĐV2.0601</x:v>
      </x:c>
      <x:c r="B59" s="16" t="str">
        <x:v>0893059875</x:v>
      </x:c>
      <x:c r="C59" s="16" t="str">
        <x:v>014185517408</x:v>
      </x:c>
      <x:c r="D59" s="14" t="str">
        <x:v>phamminhbinh58@gmail.com</x:v>
      </x:c>
      <x:c r="E59" s="14" t="str">
        <x:v>Hà Đông, Hà Nội</x:v>
      </x:c>
      <x:c r="F59" s="14" t="str">
        <x:v>Phạm Minh Bình</x:v>
      </x:c>
      <x:c r="G59" s="14" t="str">
        <x:v>Thanh toán tiến độ</x:v>
      </x:c>
      <x:c r="H59" s="18" t="n">
        <x:v>8684347196</x:v>
      </x:c>
      <x:c r="I59" s="20" t="n">
        <x:v>46252.583333333336</x:v>
      </x:c>
      <x:c r="J59" s="14" t="str">
        <x:v>Đã ký</x:v>
      </x:c>
      <x:c r="K59" s="18" t="n">
        <x:v>513369000</x:v>
      </x:c>
      <x:c r="L59" s="18" t="n">
        <x:v>167204000</x:v>
      </x:c>
      <x:c r="M59" s="14" t="str">
        <x:v>Quan tâm căn tầng cao, view thoáng</x:v>
      </x:c>
      <x:c r="N59" s="14" t="str">
        <x:v>V2.0601</x:v>
      </x:c>
      <x:c r="O59" s="14" t="str">
        <x:v>NV011</x:v>
      </x:c>
    </x:row>
    <x:row r="60" ht="20" customHeight="1">
      <x:c r="A60" s="14" t="str">
        <x:v>HĐTT5-4</x:v>
      </x:c>
      <x:c r="B60" s="16" t="str">
        <x:v>0381358094</x:v>
      </x:c>
      <x:c r="C60" s="16" t="str">
        <x:v>006082452056</x:v>
      </x:c>
      <x:c r="D60" s="14" t="str">
        <x:v>tranthuyvy59@gmail.com</x:v>
      </x:c>
      <x:c r="E60" s="14" t="str">
        <x:v>Tây Hồ, Hà Nội</x:v>
      </x:c>
      <x:c r="F60" s="14" t="str">
        <x:v>Trần Thùy Vy</x:v>
      </x:c>
      <x:c r="G60" s="14" t="str">
        <x:v>Thanh toán sớm</x:v>
      </x:c>
      <x:c r="H60" s="18" t="n">
        <x:v>21253181253</x:v>
      </x:c>
      <x:c r="I60" s="20" t="n">
        <x:v>46258.645833333336</x:v>
      </x:c>
      <x:c r="J60" s="14" t="str">
        <x:v>Đã ký</x:v>
      </x:c>
      <x:c r="K60" s="18" t="n">
        <x:v>1502003000</x:v>
      </x:c>
      <x:c r="L60" s="18" t="n">
        <x:v>472747000</x:v>
      </x:c>
      <x:c r="M60" s="14" t="str">
        <x:v>Khách mua cho con, ưu tiên tiện ích nội khu</x:v>
      </x:c>
      <x:c r="N60" s="14" t="str">
        <x:v>TT5-4</x:v>
      </x:c>
      <x:c r="O60" s="14" t="str">
        <x:v>NV012</x:v>
      </x:c>
    </x:row>
    <x:row r="61" ht="20" customHeight="1">
      <x:c r="A61" s="14" t="str">
        <x:v>HĐTT5-5</x:v>
      </x:c>
      <x:c r="B61" s="16" t="str">
        <x:v>0336075846</x:v>
      </x:c>
      <x:c r="C61" s="16" t="str">
        <x:v>010080749278</x:v>
      </x:c>
      <x:c r="D61" s="14" t="str">
        <x:v>doanhha60@gmail.com</x:v>
      </x:c>
      <x:c r="E61" s="14" t="str">
        <x:v>Ba Đình, Hà Nội</x:v>
      </x:c>
      <x:c r="F61" s="14" t="str">
        <x:v>Đỗ Anh Hà</x:v>
      </x:c>
      <x:c r="G61" s="14" t="str">
        <x:v>Vay HTLS</x:v>
      </x:c>
      <x:c r="H61" s="18" t="n">
        <x:v>22371769740</x:v>
      </x:c>
      <x:c r="I61" s="20" t="n">
        <x:v>46261.677083333336</x:v>
      </x:c>
      <x:c r="J61" s="14" t="str">
        <x:v>Đã ký</x:v>
      </x:c>
      <x:c r="K61" s="18" t="n">
        <x:v>1501408000</x:v>
      </x:c>
      <x:c r="L61" s="18" t="n">
        <x:v>477654000</x:v>
      </x:c>
      <x:c r="M61" s="14" t="str">
        <x:v>Khách đầu tư cho thuê</x:v>
      </x:c>
      <x:c r="N61" s="14" t="str">
        <x:v>TT5-5</x:v>
      </x:c>
      <x:c r="O61" s="14" t="str">
        <x:v>NV013</x:v>
      </x:c>
    </x:row>
  </x:sheetData>
  <x:pageMargins left="0.7" right="0.7" top="0.75" bottom="0.75" header="0.3" footer="0.3"/>
  <x:tableParts count="1">
    <x:tablePart xmlns:r="http://schemas.openxmlformats.org/officeDocument/2006/relationships" r:id="R5987898fec0c448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92" t="str">
        <x:v>CÔNG TY CỔ PHẦN BẤT ĐỘNG SẢN AHS</x:v>
      </x:c>
      <x:c r="B1" s="93"/>
      <x:c r="C1" s="93"/>
      <x:c r="D1" s="93"/>
      <x:c r="E1" s="93"/>
      <x:c r="F1" s="93"/>
      <x:c r="G1" s="93"/>
    </x:row>
    <x:row r="2">
      <x:c r="A2" s="94" t="str">
        <x:v>Địa chỉ: Tầng 4, Tòa nhà The Legend Tower, số 109 Nguyễn Tuân, Phường Thanh Xuân, Thành phố Hà Nội, Việt Nam</x:v>
      </x:c>
      <x:c r="B2" s="93"/>
      <x:c r="C2" s="93"/>
      <x:c r="D2" s="93"/>
      <x:c r="E2" s="93"/>
      <x:c r="F2" s="93"/>
      <x:c r="G2" s="93"/>
    </x:row>
    <x:row r="3">
      <x:c r="A3" s="94" t="str">
        <x:v>Điện thoại: 0964960955</x:v>
      </x:c>
      <x:c r="B3" s="93"/>
      <x:c r="C3" s="93"/>
      <x:c r="D3" s="93"/>
      <x:c r="E3" s="93"/>
      <x:c r="F3" s="93"/>
      <x:c r="G3" s="93"/>
    </x:row>
    <x:row r="4">
      <x:c r="A4" s="95" t="str">
        <x:v>Người tạo</x:v>
      </x:c>
      <x:c r="B4" s="94" t="str">
        <x:v>Hoàng Thị Hương Giang</x:v>
      </x:c>
      <x:c r="C4" s="94"/>
      <x:c r="D4" s="95" t="str">
        <x:v>Ngày tạo</x:v>
      </x:c>
      <x:c r="E4" s="96" t="n">
        <x:v>46274</x:v>
      </x:c>
      <x:c r="F4" s="94"/>
      <x:c r="G4" s="94"/>
    </x:row>
    <x:row r="5">
      <x:c r="A5" s="95" t="str">
        <x:v>Thời gian thống kê</x:v>
      </x:c>
      <x:c r="B5" s="94" t="str">
        <x:v>01/01/2026 - 31/08/2026</x:v>
      </x:c>
      <x:c r="C5" s="94"/>
      <x:c r="D5" s="95" t="str">
        <x:v>Phạm vi sử dụng</x:v>
      </x:c>
      <x:c r="E5" s="94" t="str">
        <x:v>Chỉ Ban lãnh đạo</x:v>
      </x:c>
      <x:c r="F5" s="94"/>
      <x:c r="G5" s="94"/>
    </x:row>
    <x:row r="6">
      <x:c r="A6" s="93"/>
      <x:c r="B6" s="93"/>
      <x:c r="C6" s="93"/>
      <x:c r="D6" s="93"/>
      <x:c r="E6" s="93"/>
      <x:c r="F6" s="93"/>
      <x:c r="G6" s="93"/>
    </x:row>
    <x:row r="7">
      <x:c r="A7" s="97" t="str">
        <x:v>BÁO CÁO DOANH THU THEO THÁNG</x:v>
      </x:c>
      <x:c r="B7" s="93"/>
      <x:c r="C7" s="93"/>
      <x:c r="D7" s="93"/>
      <x:c r="E7" s="93"/>
      <x:c r="F7" s="93"/>
      <x:c r="G7" s="93"/>
    </x:row>
    <x:row r="8">
      <x:c r="A8" s="73" t="str">
        <x:v>Doanh thu và hoa hồng là số tiền Sales Admin nhập/cập nhật theo từng giao dịch; không áp dụng tỷ lệ cố định theo dự án. Ngày ghi nhận là ngày cọc.</x:v>
      </x:c>
      <x:c r="B8" s="93"/>
      <x:c r="C8" s="93"/>
      <x:c r="D8" s="93"/>
      <x:c r="E8" s="93"/>
      <x:c r="F8" s="93"/>
      <x:c r="G8" s="93"/>
    </x:row>
    <x:row r="9">
      <x:c r="A9" s="93"/>
      <x:c r="B9" s="93"/>
      <x:c r="C9" s="93"/>
      <x:c r="D9" s="93"/>
      <x:c r="E9" s="93"/>
      <x:c r="F9" s="93"/>
      <x:c r="G9" s="93"/>
    </x:row>
    <x:row r="10" ht="24" customHeight="1">
      <x:c r="A10" s="10" t="str">
        <x:v>Tháng</x:v>
      </x:c>
      <x:c r="B10" s="10" t="str">
        <x:v>Số GD cọc thành công</x:v>
      </x:c>
      <x:c r="C10" s="10" t="str">
        <x:v>Tổng doanh số (Giá HĐ)</x:v>
      </x:c>
      <x:c r="D10" s="10" t="str">
        <x:v>Doanh thu AHS</x:v>
      </x:c>
      <x:c r="E10" s="10" t="str">
        <x:v>Tổng hoa hồng NVKD</x:v>
      </x:c>
      <x:c r="F10" s="10" t="str">
        <x:v>Doanh thu sau hoa hồng</x:v>
      </x:c>
      <x:c r="G10" s="10" t="str">
        <x:v>Doanh thu bình quân/GD</x:v>
      </x:c>
    </x:row>
    <x:row r="11">
      <x:c r="A11" s="93" t="str">
        <x:v>01/2026</x:v>
      </x:c>
      <x:c r="B11" s="98" t="n">
        <x:v>6</x:v>
      </x:c>
      <x:c r="C11" s="99" t="n">
        <x:v>110679099865</x:v>
      </x:c>
      <x:c r="D11" s="99" t="n">
        <x:v>7007126000</x:v>
      </x:c>
      <x:c r="E11" s="99" t="n">
        <x:v>2410752000</x:v>
      </x:c>
      <x:c r="F11" s="99" t="n">
        <x:f>D11-E11</x:f>
        <x:v>4596374000</x:v>
      </x:c>
      <x:c r="G11" s="99" t="n">
        <x:f>IF(B11=0,0,D11/B11)</x:f>
        <x:v>1167854333.3333333</x:v>
      </x:c>
    </x:row>
    <x:row r="12">
      <x:c r="A12" s="93" t="str">
        <x:v>02/2026</x:v>
      </x:c>
      <x:c r="B12" s="98" t="n">
        <x:v>6</x:v>
      </x:c>
      <x:c r="C12" s="99" t="n">
        <x:v>97257735541</x:v>
      </x:c>
      <x:c r="D12" s="99" t="n">
        <x:v>5968058000</x:v>
      </x:c>
      <x:c r="E12" s="99" t="n">
        <x:v>2116973000</x:v>
      </x:c>
      <x:c r="F12" s="99" t="n">
        <x:f>D12-E12</x:f>
        <x:v>3851085000</x:v>
      </x:c>
      <x:c r="G12" s="99" t="n">
        <x:f>IF(B12=0,0,D12/B12)</x:f>
        <x:v>994676333.3333334</x:v>
      </x:c>
    </x:row>
    <x:row r="13">
      <x:c r="A13" s="93" t="str">
        <x:v>03/2026</x:v>
      </x:c>
      <x:c r="B13" s="98" t="n">
        <x:v>6</x:v>
      </x:c>
      <x:c r="C13" s="99" t="n">
        <x:v>101166634275</x:v>
      </x:c>
      <x:c r="D13" s="99" t="n">
        <x:v>6176563000</x:v>
      </x:c>
      <x:c r="E13" s="99" t="n">
        <x:v>2235620000</x:v>
      </x:c>
      <x:c r="F13" s="99" t="n">
        <x:f>D13-E13</x:f>
        <x:v>3940943000</x:v>
      </x:c>
      <x:c r="G13" s="99" t="n">
        <x:f>IF(B13=0,0,D13/B13)</x:f>
        <x:v>1029427166.6666666</x:v>
      </x:c>
    </x:row>
    <x:row r="14">
      <x:c r="A14" s="93" t="str">
        <x:v>04/2026</x:v>
      </x:c>
      <x:c r="B14" s="98" t="n">
        <x:v>6</x:v>
      </x:c>
      <x:c r="C14" s="99" t="n">
        <x:v>116820540251</x:v>
      </x:c>
      <x:c r="D14" s="99" t="n">
        <x:v>7665048000</x:v>
      </x:c>
      <x:c r="E14" s="99" t="n">
        <x:v>2535685000</x:v>
      </x:c>
      <x:c r="F14" s="99" t="n">
        <x:f>D14-E14</x:f>
        <x:v>5129363000</x:v>
      </x:c>
      <x:c r="G14" s="99" t="n">
        <x:f>IF(B14=0,0,D14/B14)</x:f>
        <x:v>1277508000</x:v>
      </x:c>
    </x:row>
    <x:row r="15">
      <x:c r="A15" s="93" t="str">
        <x:v>05/2026</x:v>
      </x:c>
      <x:c r="B15" s="98" t="n">
        <x:v>6</x:v>
      </x:c>
      <x:c r="C15" s="99" t="n">
        <x:v>114491559740</x:v>
      </x:c>
      <x:c r="D15" s="99" t="n">
        <x:v>6762937000</x:v>
      </x:c>
      <x:c r="E15" s="99" t="n">
        <x:v>2528785000</x:v>
      </x:c>
      <x:c r="F15" s="99" t="n">
        <x:f>D15-E15</x:f>
        <x:v>4234152000</x:v>
      </x:c>
      <x:c r="G15" s="99" t="n">
        <x:f>IF(B15=0,0,D15/B15)</x:f>
        <x:v>1127156166.6666667</x:v>
      </x:c>
    </x:row>
    <x:row r="16">
      <x:c r="A16" s="93" t="str">
        <x:v>06/2026</x:v>
      </x:c>
      <x:c r="B16" s="98" t="n">
        <x:v>15</x:v>
      </x:c>
      <x:c r="C16" s="99" t="n">
        <x:v>218044779035</x:v>
      </x:c>
      <x:c r="D16" s="99" t="n">
        <x:v>13032156000</x:v>
      </x:c>
      <x:c r="E16" s="99" t="n">
        <x:v>4597472000</x:v>
      </x:c>
      <x:c r="F16" s="99" t="n">
        <x:f>D16-E16</x:f>
        <x:v>8434684000</x:v>
      </x:c>
      <x:c r="G16" s="99" t="n">
        <x:f>IF(B16=0,0,D16/B16)</x:f>
        <x:v>868810400</x:v>
      </x:c>
    </x:row>
    <x:row r="17">
      <x:c r="A17" s="93" t="str">
        <x:v>07/2026</x:v>
      </x:c>
      <x:c r="B17" s="98" t="n">
        <x:v>9</x:v>
      </x:c>
      <x:c r="C17" s="99" t="n">
        <x:v>31430000000</x:v>
      </x:c>
      <x:c r="D17" s="99" t="n">
        <x:v>1708637000</x:v>
      </x:c>
      <x:c r="E17" s="99" t="n">
        <x:v>629964000</x:v>
      </x:c>
      <x:c r="F17" s="99" t="n">
        <x:f>D17-E17</x:f>
        <x:v>1078673000</x:v>
      </x:c>
      <x:c r="G17" s="99" t="n">
        <x:f>IF(B17=0,0,D17/B17)</x:f>
        <x:v>189848555.55555555</x:v>
      </x:c>
    </x:row>
    <x:row r="18">
      <x:c r="A18" s="93" t="str">
        <x:v>08/2026</x:v>
      </x:c>
      <x:c r="B18" s="98" t="n">
        <x:v>6</x:v>
      </x:c>
      <x:c r="C18" s="99" t="n">
        <x:v>111526997414</x:v>
      </x:c>
      <x:c r="D18" s="99" t="n">
        <x:v>7257553000</x:v>
      </x:c>
      <x:c r="E18" s="99" t="n">
        <x:v>2431219000</x:v>
      </x:c>
      <x:c r="F18" s="99" t="n">
        <x:f>D18-E18</x:f>
        <x:v>4826334000</x:v>
      </x:c>
      <x:c r="G18" s="99" t="n">
        <x:f>IF(B18=0,0,D18/B18)</x:f>
        <x:v>1209592166.6666667</x:v>
      </x:c>
    </x:row>
    <x:row r="19">
      <x:c r="A19" s="100" t="str">
        <x:v>TỔNG</x:v>
      </x:c>
      <x:c r="B19" s="101" t="n">
        <x:f>SUM(B11:B18)</x:f>
        <x:v>60</x:v>
      </x:c>
      <x:c r="C19" s="102" t="n">
        <x:f>SUM(C11:C18)</x:f>
        <x:v>901417346121</x:v>
      </x:c>
      <x:c r="D19" s="102" t="n">
        <x:f>SUM(D11:D18)</x:f>
        <x:v>55578078000</x:v>
      </x:c>
      <x:c r="E19" s="102" t="n">
        <x:f>SUM(E11:E18)</x:f>
        <x:v>19486470000</x:v>
      </x:c>
      <x:c r="F19" s="102" t="n">
        <x:f>D19-E19</x:f>
        <x:v>36091608000</x:v>
      </x:c>
      <x:c r="G19" s="102" t="n">
        <x:f>IF(B19=0,0,D19/B19)</x:f>
        <x:v>926301300</x:v>
      </x:c>
    </x:row>
    <x:row r="20">
      <x:c r="A20" s="93"/>
      <x:c r="B20" s="93"/>
      <x:c r="C20" s="93"/>
      <x:c r="D20" s="93"/>
      <x:c r="E20" s="93"/>
      <x:c r="F20" s="93"/>
      <x:c r="G20" s="93"/>
    </x:row>
    <x:row r="21">
      <x:c r="A21" s="79" t="str">
        <x:v>Lưu ý: Doanh thu là khoản AHS thực nhận/được chủ đầu tư ghi nhận theo từng giao dịch; hoa hồng NVKD là một phần chi phí nằm trong doanh thu. “Doanh thu sau hoa hồng” không phải lợi nhuận của công ty.</x:v>
      </x:c>
      <x:c r="B21" s="93"/>
      <x:c r="C21" s="93"/>
      <x:c r="D21" s="93"/>
      <x:c r="E21" s="93"/>
      <x:c r="F21" s="93"/>
      <x:c r="G21" s="93"/>
    </x:row>
    <x:row r="22">
      <x:c r="A22" s="93"/>
      <x:c r="B22" s="93"/>
      <x:c r="C22" s="93"/>
      <x:c r="D22" s="93"/>
      <x:c r="E22" s="93"/>
      <x:c r="F22" s="93"/>
      <x:c r="G22" s="93"/>
    </x:row>
    <x:row r="23">
      <x:c r="A23" s="93"/>
      <x:c r="B23" s="93"/>
      <x:c r="C23" s="93"/>
      <x:c r="D23" s="93"/>
      <x:c r="E23" s="93"/>
      <x:c r="F23" s="93"/>
      <x:c r="G23" s="93"/>
    </x:row>
    <x:row r="24">
      <x:c r="A24" s="93"/>
      <x:c r="B24" s="93"/>
      <x:c r="C24" s="93"/>
      <x:c r="D24" s="93"/>
      <x:c r="E24" s="93"/>
      <x:c r="F24" s="93"/>
      <x:c r="G24" s="93"/>
    </x:row>
    <x:row r="25">
      <x:c r="A25" s="93"/>
      <x:c r="B25" s="93"/>
      <x:c r="C25" s="93"/>
      <x:c r="D25" s="93"/>
      <x:c r="E25" s="93"/>
      <x:c r="F25" s="93"/>
      <x:c r="G25" s="93"/>
    </x:row>
    <x:row r="26">
      <x:c r="A26" s="93"/>
      <x:c r="B26" s="93"/>
      <x:c r="C26" s="93"/>
      <x:c r="D26" s="93"/>
      <x:c r="E26" s="93"/>
      <x:c r="F26" s="93"/>
      <x:c r="G26" s="93"/>
    </x:row>
    <x:row r="27">
      <x:c r="A27" s="93"/>
      <x:c r="B27" s="93"/>
      <x:c r="C27" s="93"/>
      <x:c r="D27" s="93"/>
      <x:c r="E27" s="93"/>
      <x:c r="F27" s="93"/>
      <x:c r="G27" s="93"/>
    </x:row>
    <x:row r="28">
      <x:c r="A28" s="93"/>
      <x:c r="B28" s="93"/>
      <x:c r="C28" s="93"/>
      <x:c r="D28" s="93"/>
      <x:c r="E28" s="93"/>
      <x:c r="F28" s="93"/>
      <x:c r="G28" s="93"/>
    </x:row>
    <x:row r="29">
      <x:c r="A29" s="93"/>
      <x:c r="B29" s="93"/>
      <x:c r="C29" s="93"/>
      <x:c r="D29" s="93"/>
      <x:c r="E29" s="93"/>
      <x:c r="F29" s="93"/>
      <x:c r="G29" s="93"/>
    </x:row>
    <x:row r="30">
      <x:c r="A30" s="93"/>
      <x:c r="B30" s="93"/>
      <x:c r="C30" s="93"/>
      <x:c r="D30" s="93"/>
      <x:c r="E30" s="93"/>
      <x:c r="F30" s="93"/>
      <x:c r="G30" s="93"/>
    </x:row>
  </x:sheetData>
  <x:mergeCells>
    <x:mergeCell ref="A1:G1"/>
    <x:mergeCell ref="A2:G2"/>
    <x:mergeCell ref="A3:G3"/>
    <x:mergeCell ref="A7:G7"/>
    <x:mergeCell ref="A8:G8"/>
    <x:mergeCell ref="A21:G21"/>
  </x:mergeCells>
  <x:pageMargins left="0.7" right="0.7" top="0.75" bottom="0.75" header="0.3" footer="0.3"/>
  <x:drawing xmlns:r="http://schemas.openxmlformats.org/officeDocument/2006/relationships" r:id="R80629f9faca9452c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92" t="str">
        <x:v>CÔNG TY CỔ PHẦN BẤT ĐỘNG SẢN AHS</x:v>
      </x:c>
      <x:c r="B1" s="93"/>
      <x:c r="C1" s="93"/>
      <x:c r="D1" s="93"/>
      <x:c r="E1" s="93"/>
      <x:c r="F1" s="93"/>
      <x:c r="G1" s="93"/>
    </x:row>
    <x:row r="2">
      <x:c r="A2" s="94" t="str">
        <x:v>Địa chỉ: Tầng 4, Tòa nhà The Legend Tower, số 109 Nguyễn Tuân, Phường Thanh Xuân, Thành phố Hà Nội, Việt Nam</x:v>
      </x:c>
      <x:c r="B2" s="93"/>
      <x:c r="C2" s="93"/>
      <x:c r="D2" s="93"/>
      <x:c r="E2" s="93"/>
      <x:c r="F2" s="93"/>
      <x:c r="G2" s="93"/>
    </x:row>
    <x:row r="3">
      <x:c r="A3" s="94" t="str">
        <x:v>Điện thoại: 0964960955</x:v>
      </x:c>
      <x:c r="B3" s="93"/>
      <x:c r="C3" s="93"/>
      <x:c r="D3" s="93"/>
      <x:c r="E3" s="93"/>
      <x:c r="F3" s="93"/>
      <x:c r="G3" s="93"/>
    </x:row>
    <x:row r="4">
      <x:c r="A4" s="95" t="str">
        <x:v>Người tạo</x:v>
      </x:c>
      <x:c r="B4" s="94" t="str">
        <x:v>Hoàng Thị Hương Giang</x:v>
      </x:c>
      <x:c r="C4" s="94"/>
      <x:c r="D4" s="95" t="str">
        <x:v>Ngày tạo</x:v>
      </x:c>
      <x:c r="E4" s="96" t="n">
        <x:v>46274</x:v>
      </x:c>
      <x:c r="F4" s="94"/>
      <x:c r="G4" s="94"/>
    </x:row>
    <x:row r="5">
      <x:c r="A5" s="95" t="str">
        <x:v>Thời gian thống kê</x:v>
      </x:c>
      <x:c r="B5" s="94" t="str">
        <x:v>Tính đến ngày 31/08/2026</x:v>
      </x:c>
      <x:c r="C5" s="94"/>
      <x:c r="D5" s="95"/>
      <x:c r="E5" s="94"/>
      <x:c r="F5" s="94"/>
      <x:c r="G5" s="94"/>
    </x:row>
    <x:row r="6">
      <x:c r="A6" s="93"/>
      <x:c r="B6" s="93"/>
      <x:c r="C6" s="93"/>
      <x:c r="D6" s="93"/>
      <x:c r="E6" s="93"/>
      <x:c r="F6" s="93"/>
      <x:c r="G6" s="93"/>
    </x:row>
    <x:row r="7">
      <x:c r="A7" s="97" t="str">
        <x:v>BÁO CÁO LƯỢNG SẢN PHẨM BÁN THEO DỰ ÁN</x:v>
      </x:c>
      <x:c r="B7" s="93"/>
      <x:c r="C7" s="93"/>
      <x:c r="D7" s="93"/>
      <x:c r="E7" s="93"/>
      <x:c r="F7" s="93"/>
      <x:c r="G7" s="93"/>
    </x:row>
    <x:row r="8">
      <x:c r="A8" s="73" t="str">
        <x:v>Trạng thái sản phẩm được quy về 3 trạng thái: Còn hàng – Đang lock – Đã bán. Sản phẩm được ghi nhận Đã bán theo giao dịch cọc thành công.</x:v>
      </x:c>
      <x:c r="B8" s="93"/>
      <x:c r="C8" s="93"/>
      <x:c r="D8" s="93"/>
      <x:c r="E8" s="93"/>
      <x:c r="F8" s="93"/>
      <x:c r="G8" s="93"/>
    </x:row>
    <x:row r="9">
      <x:c r="A9" s="93"/>
      <x:c r="B9" s="93"/>
      <x:c r="C9" s="93"/>
      <x:c r="D9" s="93"/>
      <x:c r="E9" s="93"/>
      <x:c r="F9" s="93"/>
      <x:c r="G9" s="93"/>
    </x:row>
    <x:row r="10" ht="24" customHeight="1">
      <x:c r="A10" s="10" t="str">
        <x:v>Mã dự án</x:v>
      </x:c>
      <x:c r="B10" s="10" t="str">
        <x:v>Tên dự án</x:v>
      </x:c>
      <x:c r="C10" s="10" t="str">
        <x:v>Tổng sản phẩm</x:v>
      </x:c>
      <x:c r="D10" s="10" t="str">
        <x:v>Còn hàng</x:v>
      </x:c>
      <x:c r="E10" s="10" t="str">
        <x:v>Đang lock</x:v>
      </x:c>
      <x:c r="F10" s="10" t="str">
        <x:v>Đã bán</x:v>
      </x:c>
      <x:c r="G10" s="10" t="str">
        <x:v>Tỷ lệ bán</x:v>
      </x:c>
    </x:row>
    <x:row r="11">
      <x:c r="A11" s="93" t="str">
        <x:v>DA001</x:v>
      </x:c>
      <x:c r="B11" s="93" t="str">
        <x:v>The Vista Văn La - Cao tầng</x:v>
      </x:c>
      <x:c r="C11" s="93" t="n">
        <x:v>45</x:v>
      </x:c>
      <x:c r="D11" s="93" t="n">
        <x:v>25</x:v>
      </x:c>
      <x:c r="E11" s="93" t="n">
        <x:v>0</x:v>
      </x:c>
      <x:c r="F11" s="93" t="n">
        <x:v>20</x:v>
      </x:c>
      <x:c r="G11" s="118" t="n">
        <x:v>0.4444444444444444</x:v>
      </x:c>
    </x:row>
    <x:row r="12">
      <x:c r="A12" s="93" t="str">
        <x:v>DA002</x:v>
      </x:c>
      <x:c r="B12" s="93" t="str">
        <x:v>The Vista Văn La - Thấp tầng</x:v>
      </x:c>
      <x:c r="C12" s="93" t="n">
        <x:v>68</x:v>
      </x:c>
      <x:c r="D12" s="93" t="n">
        <x:v>38</x:v>
      </x:c>
      <x:c r="E12" s="93" t="n">
        <x:v>0</x:v>
      </x:c>
      <x:c r="F12" s="93" t="n">
        <x:v>30</x:v>
      </x:c>
      <x:c r="G12" s="118" t="n">
        <x:v>0.4411764705882353</x:v>
      </x:c>
    </x:row>
    <x:row r="13">
      <x:c r="A13" s="93" t="str">
        <x:v>DA003</x:v>
      </x:c>
      <x:c r="B13" s="93" t="str">
        <x:v>LUMIÈRE Hanoi Seasons Garden</x:v>
      </x:c>
      <x:c r="C13" s="93" t="n">
        <x:v>46</x:v>
      </x:c>
      <x:c r="D13" s="93" t="n">
        <x:v>45</x:v>
      </x:c>
      <x:c r="E13" s="93" t="n">
        <x:v>0</x:v>
      </x:c>
      <x:c r="F13" s="93" t="n">
        <x:v>1</x:v>
      </x:c>
      <x:c r="G13" s="118" t="n">
        <x:v>0.021739130434782608</x:v>
      </x:c>
    </x:row>
    <x:row r="14">
      <x:c r="A14" s="93" t="str">
        <x:v>DA004</x:v>
      </x:c>
      <x:c r="B14" s="93" t="str">
        <x:v>Masteri Grand Coast</x:v>
      </x:c>
      <x:c r="C14" s="93" t="n">
        <x:v>60</x:v>
      </x:c>
      <x:c r="D14" s="93" t="n">
        <x:v>51</x:v>
      </x:c>
      <x:c r="E14" s="93" t="n">
        <x:v>0</x:v>
      </x:c>
      <x:c r="F14" s="93" t="n">
        <x:v>9</x:v>
      </x:c>
      <x:c r="G14" s="118" t="n">
        <x:v>0.15</x:v>
      </x:c>
    </x:row>
    <x:row r="15">
      <x:c r="A15" s="93" t="str">
        <x:v>DA005</x:v>
      </x:c>
      <x:c r="B15" s="93" t="str">
        <x:v>Le Parc Place</x:v>
      </x:c>
      <x:c r="C15" s="93" t="n">
        <x:v>0</x:v>
      </x:c>
      <x:c r="D15" s="93" t="n">
        <x:v>0</x:v>
      </x:c>
      <x:c r="E15" s="93" t="n">
        <x:v>0</x:v>
      </x:c>
      <x:c r="F15" s="93" t="n">
        <x:v>0</x:v>
      </x:c>
      <x:c r="G15" s="118" t="n">
        <x:v>0</x:v>
      </x:c>
    </x:row>
    <x:row r="16">
      <x:c r="A16" s="93" t="str">
        <x:v>DA006</x:v>
      </x:c>
      <x:c r="B16" s="93" t="str">
        <x:v>Maison Privée</x:v>
      </x:c>
      <x:c r="C16" s="93" t="n">
        <x:v>0</x:v>
      </x:c>
      <x:c r="D16" s="93" t="n">
        <x:v>0</x:v>
      </x:c>
      <x:c r="E16" s="93" t="n">
        <x:v>0</x:v>
      </x:c>
      <x:c r="F16" s="93" t="n">
        <x:v>0</x:v>
      </x:c>
      <x:c r="G16" s="118" t="n">
        <x:v>0</x:v>
      </x:c>
    </x:row>
    <x:row r="17">
      <x:c r="A17" s="100" t="str">
        <x:v>TỔNG</x:v>
      </x:c>
      <x:c r="B17" s="100"/>
      <x:c r="C17" s="100" t="n">
        <x:f>SUM(C11:C16)</x:f>
        <x:v>219</x:v>
      </x:c>
      <x:c r="D17" s="100" t="n">
        <x:f>SUM(D11:D16)</x:f>
        <x:v>159</x:v>
      </x:c>
      <x:c r="E17" s="100" t="n">
        <x:f>SUM(E11:E16)</x:f>
        <x:v>0</x:v>
      </x:c>
      <x:c r="F17" s="100" t="n">
        <x:f>SUM(F11:F16)</x:f>
        <x:v>60</x:v>
      </x:c>
      <x:c r="G17" s="119" t="n">
        <x:f>IF(C17=0,0,F17/C17)</x:f>
        <x:v>0.273972602739726</x:v>
      </x:c>
    </x:row>
    <x:row r="18">
      <x:c r="A18" s="93"/>
      <x:c r="B18" s="93"/>
      <x:c r="C18" s="93"/>
      <x:c r="D18" s="93"/>
      <x:c r="E18" s="93"/>
      <x:c r="F18" s="93"/>
      <x:c r="G18" s="93"/>
    </x:row>
    <x:row r="19">
      <x:c r="A19" s="93"/>
      <x:c r="B19" s="93"/>
      <x:c r="C19" s="93"/>
      <x:c r="D19" s="93"/>
      <x:c r="E19" s="93"/>
      <x:c r="F19" s="93"/>
      <x:c r="G19" s="93"/>
    </x:row>
    <x:row r="20">
      <x:c r="A20" s="93"/>
      <x:c r="B20" s="93"/>
      <x:c r="C20" s="93"/>
      <x:c r="D20" s="93"/>
      <x:c r="E20" s="93"/>
      <x:c r="F20" s="93"/>
      <x:c r="G20" s="93"/>
    </x:row>
    <x:row r="21">
      <x:c r="A21" s="93"/>
      <x:c r="B21" s="93"/>
      <x:c r="C21" s="93"/>
      <x:c r="D21" s="93"/>
      <x:c r="E21" s="93"/>
      <x:c r="F21" s="93"/>
      <x:c r="G21" s="93"/>
    </x:row>
    <x:row r="22">
      <x:c r="A22" s="93"/>
      <x:c r="B22" s="93"/>
      <x:c r="C22" s="93"/>
      <x:c r="D22" s="93"/>
      <x:c r="E22" s="93"/>
      <x:c r="F22" s="93"/>
      <x:c r="G22" s="93"/>
    </x:row>
    <x:row r="23">
      <x:c r="A23" s="93"/>
      <x:c r="B23" s="93"/>
      <x:c r="C23" s="93"/>
      <x:c r="D23" s="93"/>
      <x:c r="E23" s="93"/>
      <x:c r="F23" s="93"/>
      <x:c r="G23" s="93"/>
    </x:row>
    <x:row r="24">
      <x:c r="A24" s="93"/>
      <x:c r="B24" s="93"/>
      <x:c r="C24" s="93"/>
      <x:c r="D24" s="93"/>
      <x:c r="E24" s="93"/>
      <x:c r="F24" s="93"/>
      <x:c r="G24" s="93"/>
    </x:row>
    <x:row r="25">
      <x:c r="A25" s="93"/>
      <x:c r="B25" s="93"/>
      <x:c r="C25" s="93"/>
      <x:c r="D25" s="93"/>
      <x:c r="E25" s="93"/>
      <x:c r="F25" s="93"/>
      <x:c r="G25" s="93"/>
    </x:row>
    <x:row r="26">
      <x:c r="A26" s="93"/>
      <x:c r="B26" s="93"/>
      <x:c r="C26" s="93"/>
      <x:c r="D26" s="93"/>
      <x:c r="E26" s="93"/>
      <x:c r="F26" s="93"/>
      <x:c r="G26" s="93"/>
    </x:row>
    <x:row r="27">
      <x:c r="A27" s="93"/>
      <x:c r="B27" s="93"/>
      <x:c r="C27" s="93"/>
      <x:c r="D27" s="93"/>
      <x:c r="E27" s="93"/>
      <x:c r="F27" s="93"/>
      <x:c r="G27" s="93"/>
    </x:row>
    <x:row r="28">
      <x:c r="A28" s="93"/>
      <x:c r="B28" s="93"/>
      <x:c r="C28" s="93"/>
      <x:c r="D28" s="93"/>
      <x:c r="E28" s="93"/>
      <x:c r="F28" s="93"/>
      <x:c r="G28" s="93"/>
    </x:row>
    <x:row r="29">
      <x:c r="A29" s="93"/>
      <x:c r="B29" s="93"/>
      <x:c r="C29" s="93"/>
      <x:c r="D29" s="93"/>
      <x:c r="E29" s="93"/>
      <x:c r="F29" s="93"/>
      <x:c r="G29" s="93"/>
    </x:row>
    <x:row r="30">
      <x:c r="A30" s="93"/>
      <x:c r="B30" s="93"/>
      <x:c r="C30" s="93"/>
      <x:c r="D30" s="93"/>
      <x:c r="E30" s="93"/>
      <x:c r="F30" s="93"/>
      <x:c r="G30" s="93"/>
    </x:row>
  </x:sheetData>
  <x:mergeCells>
    <x:mergeCell ref="A1:G1"/>
    <x:mergeCell ref="A2:G2"/>
    <x:mergeCell ref="A3:G3"/>
    <x:mergeCell ref="A7:G7"/>
    <x:mergeCell ref="A8:G8"/>
  </x:mergeCells>
  <x:pageMargins left="0.7" right="0.7" top="0.75" bottom="0.75" header="0.3" footer="0.3"/>
  <x:drawing xmlns:r="http://schemas.openxmlformats.org/officeDocument/2006/relationships" r:id="Ref541c7dcabd4b14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92" t="str">
        <x:v>CÔNG TY CỔ PHẦN BẤT ĐỘNG SẢN AHS</x:v>
      </x:c>
      <x:c r="B1" s="93"/>
      <x:c r="C1" s="93"/>
      <x:c r="D1" s="93"/>
      <x:c r="E1" s="93"/>
      <x:c r="F1" s="93"/>
      <x:c r="G1" s="93"/>
    </x:row>
    <x:row r="2">
      <x:c r="A2" s="94" t="str">
        <x:v>Địa chỉ: Tầng 4, Tòa nhà The Legend Tower, số 109 Nguyễn Tuân, Phường Thanh Xuân, Thành phố Hà Nội, Việt Nam</x:v>
      </x:c>
      <x:c r="B2" s="93"/>
      <x:c r="C2" s="93"/>
      <x:c r="D2" s="93"/>
      <x:c r="E2" s="93"/>
      <x:c r="F2" s="93"/>
      <x:c r="G2" s="93"/>
    </x:row>
    <x:row r="3">
      <x:c r="A3" s="94" t="str">
        <x:v>Điện thoại: 0964960955</x:v>
      </x:c>
      <x:c r="B3" s="93"/>
      <x:c r="C3" s="93"/>
      <x:c r="D3" s="93"/>
      <x:c r="E3" s="93"/>
      <x:c r="F3" s="93"/>
      <x:c r="G3" s="93"/>
    </x:row>
    <x:row r="4">
      <x:c r="A4" s="95" t="str">
        <x:v>Người tạo</x:v>
      </x:c>
      <x:c r="B4" s="94" t="str">
        <x:v>Hoàng Thị Hương Giang</x:v>
      </x:c>
      <x:c r="C4" s="94"/>
      <x:c r="D4" s="95" t="str">
        <x:v>Ngày tạo</x:v>
      </x:c>
      <x:c r="E4" s="96" t="n">
        <x:v>46274</x:v>
      </x:c>
      <x:c r="F4" s="94"/>
      <x:c r="G4" s="94"/>
    </x:row>
    <x:row r="5">
      <x:c r="A5" s="95" t="str">
        <x:v>Thời gian thống kê</x:v>
      </x:c>
      <x:c r="B5" s="94" t="str">
        <x:v>01/01/2026 - 31/08/2026</x:v>
      </x:c>
      <x:c r="C5" s="94"/>
      <x:c r="D5" s="95"/>
      <x:c r="E5" s="94"/>
      <x:c r="F5" s="94"/>
      <x:c r="G5" s="94"/>
    </x:row>
    <x:row r="6">
      <x:c r="A6" s="93"/>
      <x:c r="B6" s="93"/>
      <x:c r="C6" s="93"/>
      <x:c r="D6" s="93"/>
      <x:c r="E6" s="93"/>
      <x:c r="F6" s="93"/>
      <x:c r="G6" s="93"/>
    </x:row>
    <x:row r="7">
      <x:c r="A7" s="97" t="str">
        <x:v>BÁO CÁO DOANH SỐ THEO NHÂN VIÊN KINH DOANH</x:v>
      </x:c>
      <x:c r="B7" s="93"/>
      <x:c r="C7" s="93"/>
      <x:c r="D7" s="93"/>
      <x:c r="E7" s="93"/>
      <x:c r="F7" s="93"/>
      <x:c r="G7" s="93"/>
    </x:row>
    <x:row r="8">
      <x:c r="A8" s="73" t="str">
        <x:v>Doanh số được đối chiếu trực tiếp từ Giá hợp đồng của các giao dịch cọc thành công; hoa hồng là số tiền Sales Admin nhập/cập nhật theo từng giao dịch. Ngày ghi nhận là ngày cọc.</x:v>
      </x:c>
      <x:c r="B8" s="93"/>
      <x:c r="C8" s="93"/>
      <x:c r="D8" s="93"/>
      <x:c r="E8" s="93"/>
      <x:c r="F8" s="93"/>
      <x:c r="G8" s="93"/>
    </x:row>
    <x:row r="9">
      <x:c r="A9" s="93"/>
      <x:c r="B9" s="93"/>
      <x:c r="C9" s="93"/>
      <x:c r="D9" s="93"/>
      <x:c r="E9" s="93"/>
      <x:c r="F9" s="93"/>
      <x:c r="G9" s="93"/>
    </x:row>
    <x:row r="10" ht="24" customHeight="1">
      <x:c r="A10" s="10" t="str">
        <x:v>Mã NV</x:v>
      </x:c>
      <x:c r="B10" s="10" t="str">
        <x:v>Họ tên nhân viên</x:v>
      </x:c>
      <x:c r="C10" s="10" t="str">
        <x:v>Chức vụ</x:v>
      </x:c>
      <x:c r="D10" s="10" t="str">
        <x:v>Số GD cọc thành công</x:v>
      </x:c>
      <x:c r="E10" s="10" t="str">
        <x:v>Tổng doanh số</x:v>
      </x:c>
      <x:c r="F10" s="10" t="str">
        <x:v>Tổng hoa hồng</x:v>
      </x:c>
      <x:c r="G10" s="10" t="str">
        <x:v>Doanh số bình quân/GD</x:v>
      </x:c>
    </x:row>
    <x:row r="11">
      <x:c r="A11" s="93" t="str">
        <x:v>NV002</x:v>
      </x:c>
      <x:c r="B11" s="93" t="str">
        <x:v>Trần Thu Hà</x:v>
      </x:c>
      <x:c r="C11" s="93" t="str">
        <x:v>Chuyên viên kinh doanh</x:v>
      </x:c>
      <x:c r="D11" s="93" t="n">
        <x:v>7</x:v>
      </x:c>
      <x:c r="E11" s="99" t="n">
        <x:v>138127758763</x:v>
      </x:c>
      <x:c r="F11" s="99" t="n">
        <x:v>3007020000</x:v>
      </x:c>
      <x:c r="G11" s="99" t="n">
        <x:v>19732536966.142857</x:v>
      </x:c>
    </x:row>
    <x:row r="12">
      <x:c r="A12" s="93" t="str">
        <x:v>NV003</x:v>
      </x:c>
      <x:c r="B12" s="93" t="str">
        <x:v>Lê Hoàng Nam</x:v>
      </x:c>
      <x:c r="C12" s="93" t="str">
        <x:v>Chuyên viên kinh doanh</x:v>
      </x:c>
      <x:c r="D12" s="93" t="n">
        <x:v>7</x:v>
      </x:c>
      <x:c r="E12" s="99" t="n">
        <x:v>131999539259</x:v>
      </x:c>
      <x:c r="F12" s="99" t="n">
        <x:v>2956928000</x:v>
      </x:c>
      <x:c r="G12" s="99" t="n">
        <x:v>18857077037</x:v>
      </x:c>
    </x:row>
    <x:row r="13">
      <x:c r="A13" s="93" t="str">
        <x:v>NV005</x:v>
      </x:c>
      <x:c r="B13" s="93" t="str">
        <x:v>Đỗ Quang Huy</x:v>
      </x:c>
      <x:c r="C13" s="93" t="str">
        <x:v>Chuyên viên kinh doanh</x:v>
      </x:c>
      <x:c r="D13" s="93" t="n">
        <x:v>7</x:v>
      </x:c>
      <x:c r="E13" s="99" t="n">
        <x:v>127112955861</x:v>
      </x:c>
      <x:c r="F13" s="99" t="n">
        <x:v>2833518000</x:v>
      </x:c>
      <x:c r="G13" s="99" t="n">
        <x:v>18158993694.42857</x:v>
      </x:c>
    </x:row>
    <x:row r="14">
      <x:c r="A14" s="93" t="str">
        <x:v>NV013</x:v>
      </x:c>
      <x:c r="B14" s="93" t="str">
        <x:v>Võ Thành Đạt</x:v>
      </x:c>
      <x:c r="C14" s="93" t="str">
        <x:v>Chuyên viên kinh doanh</x:v>
      </x:c>
      <x:c r="D14" s="93" t="n">
        <x:v>6</x:v>
      </x:c>
      <x:c r="E14" s="99" t="n">
        <x:v>122560214818</x:v>
      </x:c>
      <x:c r="F14" s="99" t="n">
        <x:v>2684131000</x:v>
      </x:c>
      <x:c r="G14" s="99" t="n">
        <x:v>20426702469.666668</x:v>
      </x:c>
    </x:row>
    <x:row r="15">
      <x:c r="A15" s="93" t="str">
        <x:v>NV006</x:v>
      </x:c>
      <x:c r="B15" s="93" t="str">
        <x:v>Bùi Khánh Linh</x:v>
      </x:c>
      <x:c r="C15" s="93" t="str">
        <x:v>Trưởng nhóm kinh doanh</x:v>
      </x:c>
      <x:c r="D15" s="93" t="n">
        <x:v>7</x:v>
      </x:c>
      <x:c r="E15" s="99" t="n">
        <x:v>113450046036</x:v>
      </x:c>
      <x:c r="F15" s="99" t="n">
        <x:v>2385105000</x:v>
      </x:c>
      <x:c r="G15" s="99" t="n">
        <x:v>16207149433.714285</x:v>
      </x:c>
    </x:row>
    <x:row r="16">
      <x:c r="A16" s="93" t="str">
        <x:v>NV012</x:v>
      </x:c>
      <x:c r="B16" s="93" t="str">
        <x:v>Phan Hải Yến</x:v>
      </x:c>
      <x:c r="C16" s="93" t="str">
        <x:v>Chuyên viên kinh doanh</x:v>
      </x:c>
      <x:c r="D16" s="93" t="n">
        <x:v>6</x:v>
      </x:c>
      <x:c r="E16" s="99" t="n">
        <x:v>90786823662</x:v>
      </x:c>
      <x:c r="F16" s="99" t="n">
        <x:v>2075387000</x:v>
      </x:c>
      <x:c r="G16" s="99" t="n">
        <x:v>15131137277</x:v>
      </x:c>
    </x:row>
    <x:row r="17">
      <x:c r="A17" s="93" t="str">
        <x:v>NV001</x:v>
      </x:c>
      <x:c r="B17" s="93" t="str">
        <x:v>Nguyễn Minh Khôi</x:v>
      </x:c>
      <x:c r="C17" s="93" t="str">
        <x:v>Chuyên viên kinh doanh</x:v>
      </x:c>
      <x:c r="D17" s="93" t="n">
        <x:v>7</x:v>
      </x:c>
      <x:c r="E17" s="99" t="n">
        <x:v>67071763344</x:v>
      </x:c>
      <x:c r="F17" s="99" t="n">
        <x:v>1302245000</x:v>
      </x:c>
      <x:c r="G17" s="99" t="n">
        <x:v>9581680477.714285</x:v>
      </x:c>
    </x:row>
    <x:row r="18">
      <x:c r="A18" s="93" t="str">
        <x:v>NV004</x:v>
      </x:c>
      <x:c r="B18" s="93" t="str">
        <x:v>Phạm Ngọc Anh</x:v>
      </x:c>
      <x:c r="C18" s="93" t="str">
        <x:v>Chuyên viên kinh doanh</x:v>
      </x:c>
      <x:c r="D18" s="93" t="n">
        <x:v>7</x:v>
      </x:c>
      <x:c r="E18" s="99" t="n">
        <x:v>65479507679</x:v>
      </x:c>
      <x:c r="F18" s="99" t="n">
        <x:v>1331334000</x:v>
      </x:c>
      <x:c r="G18" s="99" t="n">
        <x:v>9354215382.714285</x:v>
      </x:c>
    </x:row>
    <x:row r="19">
      <x:c r="A19" s="93" t="str">
        <x:v>NV011</x:v>
      </x:c>
      <x:c r="B19" s="93" t="str">
        <x:v>Đặng Minh Anh</x:v>
      </x:c>
      <x:c r="C19" s="93" t="str">
        <x:v>Chuyên viên kinh doanh</x:v>
      </x:c>
      <x:c r="D19" s="93" t="n">
        <x:v>6</x:v>
      </x:c>
      <x:c r="E19" s="99" t="n">
        <x:v>44828736699</x:v>
      </x:c>
      <x:c r="F19" s="99" t="n">
        <x:v>910802000</x:v>
      </x:c>
      <x:c r="G19" s="99" t="n">
        <x:v>7471456116.5</x:v>
      </x:c>
    </x:row>
    <x:row r="20">
      <x:c r="A20" s="100" t="str">
        <x:v>TỔNG</x:v>
      </x:c>
      <x:c r="B20" s="100"/>
      <x:c r="C20" s="100"/>
      <x:c r="D20" s="100" t="n">
        <x:f>SUM(D11:D19)</x:f>
        <x:v>60</x:v>
      </x:c>
      <x:c r="E20" s="102" t="n">
        <x:f>SUM(E11:E19)</x:f>
        <x:v>901417346121</x:v>
      </x:c>
      <x:c r="F20" s="102" t="n">
        <x:f>SUM(F11:F19)</x:f>
        <x:v>19486470000</x:v>
      </x:c>
      <x:c r="G20" s="102" t="n">
        <x:f>IF(D20=0,0,E20/D20)</x:f>
        <x:v>15023622435.35</x:v>
      </x:c>
    </x:row>
    <x:row r="21">
      <x:c r="A21" s="93"/>
      <x:c r="B21" s="93"/>
      <x:c r="C21" s="93"/>
      <x:c r="D21" s="93"/>
      <x:c r="E21" s="93"/>
      <x:c r="F21" s="93"/>
      <x:c r="G21" s="93"/>
    </x:row>
    <x:row r="22">
      <x:c r="A22" s="93"/>
      <x:c r="B22" s="93"/>
      <x:c r="C22" s="93"/>
      <x:c r="D22" s="93"/>
      <x:c r="E22" s="93"/>
      <x:c r="F22" s="93"/>
      <x:c r="G22" s="93"/>
    </x:row>
    <x:row r="23">
      <x:c r="A23" s="93"/>
      <x:c r="B23" s="93"/>
      <x:c r="C23" s="93"/>
      <x:c r="D23" s="93"/>
      <x:c r="E23" s="93"/>
      <x:c r="F23" s="93"/>
      <x:c r="G23" s="93"/>
    </x:row>
    <x:row r="24">
      <x:c r="A24" s="93"/>
      <x:c r="B24" s="93"/>
      <x:c r="C24" s="93"/>
      <x:c r="D24" s="93"/>
      <x:c r="E24" s="93"/>
      <x:c r="F24" s="93"/>
      <x:c r="G24" s="93"/>
    </x:row>
    <x:row r="25">
      <x:c r="A25" s="93"/>
      <x:c r="B25" s="93"/>
      <x:c r="C25" s="93"/>
      <x:c r="D25" s="93"/>
      <x:c r="E25" s="93"/>
      <x:c r="F25" s="93"/>
      <x:c r="G25" s="93"/>
    </x:row>
    <x:row r="26">
      <x:c r="A26" s="93"/>
      <x:c r="B26" s="93"/>
      <x:c r="C26" s="93"/>
      <x:c r="D26" s="93"/>
      <x:c r="E26" s="93"/>
      <x:c r="F26" s="93"/>
      <x:c r="G26" s="93"/>
    </x:row>
    <x:row r="27">
      <x:c r="A27" s="93"/>
      <x:c r="B27" s="93"/>
      <x:c r="C27" s="93"/>
      <x:c r="D27" s="93"/>
      <x:c r="E27" s="93"/>
      <x:c r="F27" s="93"/>
      <x:c r="G27" s="93"/>
    </x:row>
    <x:row r="28">
      <x:c r="A28" s="93"/>
      <x:c r="B28" s="93"/>
      <x:c r="C28" s="93"/>
      <x:c r="D28" s="93"/>
      <x:c r="E28" s="93"/>
      <x:c r="F28" s="93"/>
      <x:c r="G28" s="93"/>
    </x:row>
    <x:row r="29">
      <x:c r="A29" s="93"/>
      <x:c r="B29" s="93"/>
      <x:c r="C29" s="93"/>
      <x:c r="D29" s="93"/>
      <x:c r="E29" s="93"/>
      <x:c r="F29" s="93"/>
      <x:c r="G29" s="93"/>
    </x:row>
    <x:row r="30">
      <x:c r="A30" s="93"/>
      <x:c r="B30" s="93"/>
      <x:c r="C30" s="93"/>
      <x:c r="D30" s="93"/>
      <x:c r="E30" s="93"/>
      <x:c r="F30" s="93"/>
      <x:c r="G30" s="93"/>
    </x:row>
  </x:sheetData>
  <x:mergeCells>
    <x:mergeCell ref="A1:G1"/>
    <x:mergeCell ref="A2:G2"/>
    <x:mergeCell ref="A3:G3"/>
    <x:mergeCell ref="A7:G7"/>
    <x:mergeCell ref="A8:G8"/>
  </x:mergeCells>
  <x:pageMargins left="0.7" right="0.7" top="0.75" bottom="0.75" header="0.3" footer="0.3"/>
  <x:drawing xmlns:r="http://schemas.openxmlformats.org/officeDocument/2006/relationships" r:id="R3fbac584502b4e5b"/>
</x:worksheet>
</file>